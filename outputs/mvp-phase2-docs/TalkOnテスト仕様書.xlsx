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668dcd7a3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実施サマリー" sheetId="1" r:id="Rb2cd44888b334029"/>
    <x:sheet xmlns:r="http://schemas.openxmlformats.org/officeDocument/2006/relationships" name="テストケース" sheetId="2" r:id="Rf30a2948c35340cd"/>
    <x:sheet xmlns:r="http://schemas.openxmlformats.org/officeDocument/2006/relationships" name="環境・運用" sheetId="3" r:id="Rba1fe534ac704f9b"/>
    <x:sheet xmlns:r="http://schemas.openxmlformats.org/officeDocument/2006/relationships" name="マスタ" sheetId="4" r:id="R20c181c1ea92480d"/>
    <x:sheet xmlns:r="http://schemas.openxmlformats.org/officeDocument/2006/relationships" name="Phase2トレーサビリティ" sheetId="5" r:id="R35fce18802f1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43447"/>
      <x:name val="Carlito"/>
    </x:font>
    <x:font>
      <x:b/>
      <x:sz val="11"/>
      <x:color rgb="FF243447"/>
      <x:name val="Carlito"/>
    </x:font>
    <x:font>
      <x:sz val="10"/>
      <x:color rgb="FF243447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9A"/>
      </x:patternFill>
    </x:fill>
    <x:fill>
      <x:patternFill patternType="solid">
        <x:fgColor rgb="FFEAF2F8"/>
      </x:patternFill>
    </x:fill>
    <x:fill>
      <x:patternFill patternType="solid">
        <x:fgColor rgb="FFF3F5F7"/>
      </x:patternFill>
    </x:fill>
    <x:fill>
      <x:patternFill patternType="solid">
        <x:fgColor rgb="FF17324D"/>
      </x:patternFill>
    </x:fill>
    <x:fill>
      <x:patternFill patternType="solid">
        <x:fgColor rgb="FF2F6B9A"/>
      </x:patternFill>
    </x:fill>
  </x:fills>
  <x:borders count="10">
    <x:border/>
    <x:border>
      <x:right style="thin">
        <x:color rgb="FFCCD6DF"/>
      </x:right>
      <x:bottom style="thin">
        <x:color rgb="FFCCD6DF"/>
      </x:bottom>
    </x:border>
    <x:border>
      <x:left style="thin">
        <x:color rgb="FFCCD6DF"/>
      </x:left>
      <x:bottom style="thin">
        <x:color rgb="FFCCD6DF"/>
      </x:bottom>
    </x:border>
    <x:border>
      <x:right style="thin">
        <x:color rgb="FFCCD6DF"/>
      </x:right>
      <x:top style="thin">
        <x:color rgb="FFCCD6DF"/>
      </x:top>
      <x:bottom style="thin">
        <x:color rgb="FFCCD6DF"/>
      </x:bottom>
    </x:border>
    <x:border>
      <x:left style="thin">
        <x:color rgb="FFCCD6DF"/>
      </x:left>
      <x:top style="thin">
        <x:color rgb="FFCCD6DF"/>
      </x:top>
      <x:bottom style="thin">
        <x:color rgb="FFCCD6DF"/>
      </x:bottom>
    </x:border>
    <x:border>
      <x:right style="thin">
        <x:color rgb="FFCCD6DF"/>
      </x:right>
      <x:top style="thin">
        <x:color rgb="FFCCD6DF"/>
      </x:top>
    </x:border>
    <x:border>
      <x:left style="thin">
        <x:color rgb="FFCCD6DF"/>
      </x:left>
      <x:top style="thin">
        <x:color rgb="FFCCD6DF"/>
      </x:top>
    </x:border>
    <x:border>
      <x:left style="thin">
        <x:color rgb="FFCCD6DF"/>
      </x:left>
      <x:right style="thin">
        <x:color rgb="FFCCD6DF"/>
      </x:right>
      <x:bottom style="thin">
        <x:color rgb="FFCCD6DF"/>
      </x:bottom>
    </x:border>
    <x:border>
      <x:left style="thin">
        <x:color rgb="FFCCD6DF"/>
      </x:left>
      <x:right style="thin">
        <x:color rgb="FFCCD6DF"/>
      </x:right>
      <x:top style="thin">
        <x:color rgb="FFCCD6DF"/>
      </x:top>
      <x:bottom style="thin">
        <x:color rgb="FFCCD6DF"/>
      </x:bottom>
    </x:border>
    <x:border>
      <x:left style="thin">
        <x:color rgb="FFCCD6DF"/>
      </x:left>
      <x:right style="thin">
        <x:color rgb="FFCCD6DF"/>
      </x:right>
      <x:top style="thin">
        <x:color rgb="FFCCD6DF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7" xfId="0" applyNumberFormat="1" applyFont="1" applyFill="1" applyBorder="1"/>
    <x:xf numFmtId="0" fontId="2" fillId="6" borderId="2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B71C1C"/>
      </x:font>
      <x:fill>
        <x:patternFill>
          <x:bgColor rgb="FFFDECEC"/>
        </x:patternFill>
      </x:fill>
    </x:dxf>
    <x:dxf>
      <x:font>
        <x:b/>
        <x:color rgb="FF7A5A00"/>
      </x:font>
      <x:fill>
        <x:patternFill>
          <x:bgColor rgb="FFFFF7D6"/>
        </x:patternFill>
      </x:fill>
    </x:dxf>
    <x:dxf>
      <x:font>
        <x:color rgb="FFA52727"/>
      </x:font>
      <x:fill>
        <x:patternFill>
          <x:bgColor rgb="FFFFF0F0"/>
        </x:patternFill>
      </x:fill>
    </x:dxf>
    <x:dxf>
      <x:font>
        <x:b/>
        <x:color rgb="FF1B5E20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38074f17b4e15" /><Relationship Type="http://schemas.openxmlformats.org/officeDocument/2006/relationships/theme" Target="/xl/theme/theme1.xml" Id="Rcd2e34f57c6e4f12" /><Relationship Type="http://schemas.openxmlformats.org/officeDocument/2006/relationships/sharedStrings" Target="/xl/sharedStrings.xml" Id="R9b35c72906494a89" /><Relationship Type="http://schemas.openxmlformats.org/officeDocument/2006/relationships/worksheet" Target="/xl/worksheets/sheet1.xml" Id="Rb2cd44888b334029" /><Relationship Type="http://schemas.openxmlformats.org/officeDocument/2006/relationships/worksheet" Target="/xl/worksheets/sheet2.xml" Id="Rf30a2948c35340cd" /><Relationship Type="http://schemas.openxmlformats.org/officeDocument/2006/relationships/worksheet" Target="/xl/worksheets/sheet3.xml" Id="Rba1fe534ac704f9b" /><Relationship Type="http://schemas.openxmlformats.org/officeDocument/2006/relationships/worksheet" Target="/xl/worksheets/sheet4.xml" Id="R20c181c1ea92480d" /><Relationship Type="http://schemas.openxmlformats.org/officeDocument/2006/relationships/worksheet" Target="/xl/worksheets/sheet5.xml" Id="R35fce18802f14303" /></Relationships>
</file>

<file path=xl/tables/table1.xml><?xml version="1.0" encoding="utf-8"?>
<x:table xmlns:x="http://schemas.openxmlformats.org/spreadsheetml/2006/main" id="1" name="TalkOnTestCases" displayName="TalkOnTestCases" ref="A5:P51" headerRowCount="1" totalsRowCount="0" totalsRowShown="0">
  <x:tableColumns count="16">
    <x:tableColumn id="1" name="ID"/>
    <x:tableColumn id="2" name="大分類"/>
    <x:tableColumn id="3" name="中分類"/>
    <x:tableColumn id="4" name="テスト観点"/>
    <x:tableColumn id="5" name="事前条件"/>
    <x:tableColumn id="6" name="手順"/>
    <x:tableColumn id="7" name="入力・テストデータ"/>
    <x:tableColumn id="8" name="期待結果"/>
    <x:tableColumn id="9" name="種別"/>
    <x:tableColumn id="10" name="自動化"/>
    <x:tableColumn id="11" name="対応自動テスト"/>
    <x:tableColumn id="12" name="優先度"/>
    <x:tableColumn id="13" name="実施結果"/>
    <x:tableColumn id="14" name="実施日"/>
    <x:tableColumn id="15" name="実施者"/>
    <x:tableColumn id="16" name="証跡・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d9841a87304f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TalkOn MVPフェーズ2 テスト実施サマリー</x:v>
      </x:c>
      <x:c r="B1" s="3"/>
      <x:c r="C1" s="3"/>
      <x:c r="D1" s="3"/>
      <x:c r="E1" s="3"/>
      <x:c r="F1" s="3"/>
      <x:c r="G1" s="3"/>
      <x:c r="H1" s="3"/>
    </x:row>
    <x:row r="3">
      <x:c r="A3" s="6" t="str">
        <x:v>指標</x:v>
      </x:c>
      <x:c r="B3" s="6" t="str">
        <x:v>件数</x:v>
      </x:c>
      <x:c r="D3" s="6" t="str">
        <x:v>優先度</x:v>
      </x:c>
      <x:c r="E3" s="6" t="str">
        <x:v>ケース数</x:v>
      </x:c>
    </x:row>
    <x:row r="4">
      <x:c r="A4" s="7" t="str">
        <x:v>総ケース</x:v>
      </x:c>
      <x:c r="B4" s="8" t="n">
        <x:f>COUNTA('テストケース'!$A$6:$A$205)</x:f>
        <x:v>46</x:v>
      </x:c>
      <x:c r="D4" s="7" t="str">
        <x:v>高</x:v>
      </x:c>
      <x:c r="E4" s="8" t="n">
        <x:f>COUNTIF('テストケース'!$L$6:$L$205,D4)</x:f>
        <x:v>31</x:v>
      </x:c>
    </x:row>
    <x:row r="5">
      <x:c r="A5" s="9" t="str">
        <x:v>OK</x:v>
      </x:c>
      <x:c r="B5" s="10" t="n">
        <x:f>COUNTIF('テストケース'!$M$6:$M$205,"OK")</x:f>
        <x:v>23</x:v>
      </x:c>
      <x:c r="D5" s="9" t="str">
        <x:v>中</x:v>
      </x:c>
      <x:c r="E5" s="10" t="n">
        <x:f>COUNTIF('テストケース'!$L$6:$L$205,D5)</x:f>
        <x:v>13</x:v>
      </x:c>
    </x:row>
    <x:row r="6">
      <x:c r="A6" s="9" t="str">
        <x:v>NG</x:v>
      </x:c>
      <x:c r="B6" s="10" t="n">
        <x:f>COUNTIF('テストケース'!$M$6:$M$205,"NG")</x:f>
        <x:v>0</x:v>
      </x:c>
      <x:c r="D6" s="11" t="str">
        <x:v>低</x:v>
      </x:c>
      <x:c r="E6" s="13" t="n">
        <x:f>COUNTIF('テストケース'!$L$6:$L$205,D6)</x:f>
        <x:v>2</x:v>
      </x:c>
    </x:row>
    <x:row r="7">
      <x:c r="A7" s="9" t="str">
        <x:v>保留</x:v>
      </x:c>
      <x:c r="B7" s="10" t="n">
        <x:f>COUNTIF('テストケース'!$M$6:$M$205,"保留")</x:f>
        <x:v>0</x:v>
      </x:c>
    </x:row>
    <x:row r="8">
      <x:c r="A8" s="9" t="str">
        <x:v>対象外</x:v>
      </x:c>
      <x:c r="B8" s="10" t="n">
        <x:f>COUNTIF('テストケース'!$M$6:$M$205,"対象外")</x:f>
        <x:v>0</x:v>
      </x:c>
    </x:row>
    <x:row r="9">
      <x:c r="A9" s="9" t="str">
        <x:v>未実施</x:v>
      </x:c>
      <x:c r="B9" s="10" t="n">
        <x:f>COUNTIF('テストケース'!$M$6:$M$205,"未実施")</x:f>
        <x:v>23</x:v>
      </x:c>
    </x:row>
    <x:row r="10">
      <x:c r="A10" s="11" t="str">
        <x:v>進捗率</x:v>
      </x:c>
      <x:c r="B10" s="12" t="n">
        <x:f>IF(B4=0,0,(B5+B6+B7+B8)/B4)</x:f>
        <x:v>0.5</x:v>
      </x:c>
    </x:row>
    <x:row r="12">
      <x:c r="A12" s="17" t="str">
        <x:v>使い方: 「テストケース」シートの実施結果を選び、実施日・実施者・証跡を記録してください。サマリーは自動集計されます。Google Sheetsへ取り込んだ後も数式とプルダウンを利用できます。</x:v>
      </x:c>
      <x:c r="B12" s="17"/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</x:sheetData>
  <x:mergeCells>
    <x:mergeCell ref="A1:H1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0" hidden="0" customWidth="1"/>
    <x:col min="5" max="5" width="28" hidden="0" customWidth="1"/>
    <x:col min="6" max="6" width="38" hidden="0" customWidth="1"/>
    <x:col min="7" max="7" width="28" hidden="0" customWidth="1"/>
    <x:col min="8" max="8" width="42" hidden="0" customWidth="1"/>
    <x:col min="9" max="9" width="13" hidden="0" customWidth="1"/>
    <x:col min="10" max="10" width="12" hidden="0" customWidth="1"/>
    <x:col min="11" max="11" width="42" hidden="0" customWidth="1"/>
    <x:col min="12" max="12" width="10" hidden="0" customWidth="1"/>
    <x:col min="13" max="13" width="12" hidden="0" customWidth="1"/>
    <x:col min="14" max="14" width="13" hidden="0" customWidth="1"/>
    <x:col min="15" max="15" width="14" hidden="0" customWidth="1"/>
    <x:col min="16" max="16" width="34" hidden="0" customWidth="1"/>
  </x:cols>
  <x:sheetData>
    <x:row r="1" ht="34" customHeight="1">
      <x:c r="A1" s="3" t="str">
        <x:v>TalkOn テストケース一覧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16" t="str">
        <x:v>実施結果・実施日・実施者・証跡/備考を更新して、テスト実施記録として使用します。フィルターで大分類、優先度、自動化、実施結果を絞り込めます。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4">
      <x:c r="A4" s="21" t="str">
        <x:v>基準日</x:v>
      </x:c>
      <x:c r="B4" s="22" t="n">
        <x:v>46243</x:v>
      </x:c>
      <x:c r="C4" s="21" t="str">
        <x:v>対象</x:v>
      </x:c>
      <x:c r="D4" s="21" t="str">
        <x:v>MVPフェーズ2</x:v>
      </x:c>
      <x:c r="E4" s="21" t="str">
        <x:v>基準ブランチ</x:v>
      </x:c>
      <x:c r="F4" s="21" t="str">
        <x:v>codex/mvp-phase2-conversation-quality</x:v>
      </x:c>
      <x:c r="G4" s="21" t="str">
        <x:v>実施環境</x:v>
      </x:c>
      <x:c r="H4" s="21" t="str">
        <x:v>環境・運用シート参照</x:v>
      </x:c>
      <x:c r="I4"/>
      <x:c r="J4"/>
      <x:c r="K4"/>
      <x:c r="L4"/>
      <x:c r="M4"/>
      <x:c r="N4"/>
      <x:c r="O4"/>
      <x:c r="P4"/>
    </x:row>
    <x:row r="5" ht="32" customHeight="1">
      <x:c r="A5" s="28" t="str">
        <x:v>ID</x:v>
      </x:c>
      <x:c r="B5" s="29" t="str">
        <x:v>大分類</x:v>
      </x:c>
      <x:c r="C5" s="29" t="str">
        <x:v>中分類</x:v>
      </x:c>
      <x:c r="D5" s="29" t="str">
        <x:v>テスト観点</x:v>
      </x:c>
      <x:c r="E5" s="29" t="str">
        <x:v>事前条件</x:v>
      </x:c>
      <x:c r="F5" s="29" t="str">
        <x:v>手順</x:v>
      </x:c>
      <x:c r="G5" s="29" t="str">
        <x:v>入力・テストデータ</x:v>
      </x:c>
      <x:c r="H5" s="29" t="str">
        <x:v>期待結果</x:v>
      </x:c>
      <x:c r="I5" s="29" t="str">
        <x:v>種別</x:v>
      </x:c>
      <x:c r="J5" s="29" t="str">
        <x:v>自動化</x:v>
      </x:c>
      <x:c r="K5" s="29" t="str">
        <x:v>対応自動テスト</x:v>
      </x:c>
      <x:c r="L5" s="29" t="str">
        <x:v>優先度</x:v>
      </x:c>
      <x:c r="M5" s="29" t="str">
        <x:v>実施結果</x:v>
      </x:c>
      <x:c r="N5" s="29" t="str">
        <x:v>実施日</x:v>
      </x:c>
      <x:c r="O5" s="29" t="str">
        <x:v>実施者</x:v>
      </x:c>
      <x:c r="P5" s="30" t="str">
        <x:v>証跡・備考</x:v>
      </x:c>
    </x:row>
    <x:row r="6">
      <x:c r="A6" s="31" t="str">
        <x:v>AUTH-001</x:v>
      </x:c>
      <x:c r="B6" s="32" t="str">
        <x:v>認証</x:v>
      </x:c>
      <x:c r="C6" s="32" t="str">
        <x:v>登録</x:v>
      </x:c>
      <x:c r="D6" s="32" t="str">
        <x:v>正常な入力でユーザー登録できる</x:v>
      </x:c>
      <x:c r="E6" s="32" t="str">
        <x:v>未登録メールアドレス</x:v>
      </x:c>
      <x:c r="F6" s="32" t="str">
        <x:v>登録画面を開く→表示名・メール・Passwordを入力→登録</x:v>
      </x:c>
      <x:c r="G6" s="32" t="str">
        <x:v>表示名: Test User / 有効なメール / 8文字以上Password</x:v>
      </x:c>
      <x:c r="H6" s="32" t="str">
        <x:v>201相当で登録され、PasswordはHash保存され、ログイン画面へ進む</x:v>
      </x:c>
      <x:c r="I6" s="32" t="str">
        <x:v>正常</x:v>
      </x:c>
      <x:c r="J6" s="32" t="str">
        <x:v>自動</x:v>
      </x:c>
      <x:c r="K6" s="32" t="str">
        <x:v>AuthIntegrationTest.registrationHashesPasswordAndRejectsDuplicate / happy-path.spec.ts</x:v>
      </x:c>
      <x:c r="L6" s="32" t="str">
        <x:v>高</x:v>
      </x:c>
      <x:c r="M6" s="32" t="str">
        <x:v>OK</x:v>
      </x:c>
      <x:c r="N6" s="37" t="n">
        <x:v>46245</x:v>
      </x:c>
      <x:c r="O6" s="32" t="str">
        <x:v>Codex</x:v>
      </x:c>
      <x:c r="P6" s="33" t="str">
        <x:v>./gradlew :backend:test: 10/10 passed</x:v>
      </x:c>
    </x:row>
    <x:row r="7">
      <x:c r="A7" s="31" t="str">
        <x:v>AUTH-002</x:v>
      </x:c>
      <x:c r="B7" s="32" t="str">
        <x:v>認証</x:v>
      </x:c>
      <x:c r="C7" s="32" t="str">
        <x:v>登録</x:v>
      </x:c>
      <x:c r="D7" s="32" t="str">
        <x:v>重複メールアドレスを拒否する</x:v>
      </x:c>
      <x:c r="E7" s="32" t="str">
        <x:v>同一メールのUserが存在</x:v>
      </x:c>
      <x:c r="F7" s="32" t="str">
        <x:v>同じメールで再登録する</x:v>
      </x:c>
      <x:c r="G7" s="32" t="str">
        <x:v>登録済みメール</x:v>
      </x:c>
      <x:c r="H7" s="32" t="str">
        <x:v>409と登録済みメッセージが表示される</x:v>
      </x:c>
      <x:c r="I7" s="32" t="str">
        <x:v>異常</x:v>
      </x:c>
      <x:c r="J7" s="32" t="str">
        <x:v>自動</x:v>
      </x:c>
      <x:c r="K7" s="32" t="str">
        <x:v>AuthIntegrationTest.registrationHashesPasswordAndRejectsDuplicate</x:v>
      </x:c>
      <x:c r="L7" s="32" t="str">
        <x:v>高</x:v>
      </x:c>
      <x:c r="M7" s="32" t="str">
        <x:v>OK</x:v>
      </x:c>
      <x:c r="N7" s="37" t="n">
        <x:v>46245</x:v>
      </x:c>
      <x:c r="O7" s="32" t="str">
        <x:v>Codex</x:v>
      </x:c>
      <x:c r="P7" s="33" t="str">
        <x:v>./gradlew :backend:test: 10/10 passed</x:v>
      </x:c>
    </x:row>
    <x:row r="8">
      <x:c r="A8" s="31" t="str">
        <x:v>AUTH-003</x:v>
      </x:c>
      <x:c r="B8" s="32" t="str">
        <x:v>認証</x:v>
      </x:c>
      <x:c r="C8" s="32" t="str">
        <x:v>ログイン</x:v>
      </x:c>
      <x:c r="D8" s="32" t="str">
        <x:v>正しい認証情報でSessionを作成する</x:v>
      </x:c>
      <x:c r="E8" s="32" t="str">
        <x:v>登録済みUser</x:v>
      </x:c>
      <x:c r="F8" s="32" t="str">
        <x:v>ログイン画面からログインする</x:v>
      </x:c>
      <x:c r="G8" s="32" t="str">
        <x:v>正しいメール・Password</x:v>
      </x:c>
      <x:c r="H8" s="32" t="str">
        <x:v>ユーザー情報が返り、以後の認証APIを利用できる</x:v>
      </x:c>
      <x:c r="I8" s="32" t="str">
        <x:v>正常</x:v>
      </x:c>
      <x:c r="J8" s="32" t="str">
        <x:v>自動</x:v>
      </x:c>
      <x:c r="K8" s="32" t="str">
        <x:v>AuthIntegrationTest.loginCreatesSessionAndBadPasswordIsRejected</x:v>
      </x:c>
      <x:c r="L8" s="32" t="str">
        <x:v>高</x:v>
      </x:c>
      <x:c r="M8" s="32" t="str">
        <x:v>OK</x:v>
      </x:c>
      <x:c r="N8" s="37" t="n">
        <x:v>46245</x:v>
      </x:c>
      <x:c r="O8" s="32" t="str">
        <x:v>Codex</x:v>
      </x:c>
      <x:c r="P8" s="33" t="str">
        <x:v>./gradlew :backend:test: 10/10 passed</x:v>
      </x:c>
    </x:row>
    <x:row r="9">
      <x:c r="A9" s="31" t="str">
        <x:v>AUTH-004</x:v>
      </x:c>
      <x:c r="B9" s="32" t="str">
        <x:v>認証</x:v>
      </x:c>
      <x:c r="C9" s="32" t="str">
        <x:v>ログイン</x:v>
      </x:c>
      <x:c r="D9" s="32" t="str">
        <x:v>誤ったPasswordを拒否する</x:v>
      </x:c>
      <x:c r="E9" s="32" t="str">
        <x:v>登録済みUser</x:v>
      </x:c>
      <x:c r="F9" s="32" t="str">
        <x:v>誤ったPasswordでログインする</x:v>
      </x:c>
      <x:c r="G9" s="32" t="str">
        <x:v>正しいメール・誤Password</x:v>
      </x:c>
      <x:c r="H9" s="32" t="str">
        <x:v>401と認証失敗メッセージが表示される</x:v>
      </x:c>
      <x:c r="I9" s="32" t="str">
        <x:v>異常</x:v>
      </x:c>
      <x:c r="J9" s="32" t="str">
        <x:v>自動</x:v>
      </x:c>
      <x:c r="K9" s="32" t="str">
        <x:v>AuthIntegrationTest.loginCreatesSessionAndBadPasswordIsRejected</x:v>
      </x:c>
      <x:c r="L9" s="32" t="str">
        <x:v>高</x:v>
      </x:c>
      <x:c r="M9" s="32" t="str">
        <x:v>OK</x:v>
      </x:c>
      <x:c r="N9" s="37" t="n">
        <x:v>46245</x:v>
      </x:c>
      <x:c r="O9" s="32" t="str">
        <x:v>Codex</x:v>
      </x:c>
      <x:c r="P9" s="33" t="str">
        <x:v>./gradlew :backend:test: 10/10 passed</x:v>
      </x:c>
    </x:row>
    <x:row r="10">
      <x:c r="A10" s="31" t="str">
        <x:v>AUTH-005</x:v>
      </x:c>
      <x:c r="B10" s="32" t="str">
        <x:v>認証</x:v>
      </x:c>
      <x:c r="C10" s="32" t="str">
        <x:v>認証ガード</x:v>
      </x:c>
      <x:c r="D10" s="32" t="str">
        <x:v>未認証で保護APIを利用できない</x:v>
      </x:c>
      <x:c r="E10" s="32" t="str">
        <x:v>未ログイン</x:v>
      </x:c>
      <x:c r="F10" s="32" t="str">
        <x:v>保護APIまたはトップ画面へアクセス</x:v>
      </x:c>
      <x:c r="G10" s="32" t="str">
        <x:v>Session Cookieなし</x:v>
      </x:c>
      <x:c r="H10" s="32" t="str">
        <x:v>APIは401、画面はログインへ誘導される</x:v>
      </x:c>
      <x:c r="I10" s="32" t="str">
        <x:v>セキュリティ</x:v>
      </x:c>
      <x:c r="J10" s="32" t="str">
        <x:v>自動</x:v>
      </x:c>
      <x:c r="K10" s="32" t="str">
        <x:v>AuthIntegrationTest.protectedApiReturns401 / App.test.tsx</x:v>
      </x:c>
      <x:c r="L10" s="32" t="str">
        <x:v>高</x:v>
      </x:c>
      <x:c r="M10" s="32" t="str">
        <x:v>OK</x:v>
      </x:c>
      <x:c r="N10" s="37" t="n">
        <x:v>46245</x:v>
      </x:c>
      <x:c r="O10" s="32" t="str">
        <x:v>Codex</x:v>
      </x:c>
      <x:c r="P10" s="33" t="str">
        <x:v>npm test --prefix frontend: 8/8 passed</x:v>
      </x:c>
    </x:row>
    <x:row r="11">
      <x:c r="A11" s="31" t="str">
        <x:v>AUTH-006</x:v>
      </x:c>
      <x:c r="B11" s="32" t="str">
        <x:v>認証</x:v>
      </x:c>
      <x:c r="C11" s="32" t="str">
        <x:v>ログアウト</x:v>
      </x:c>
      <x:c r="D11" s="32" t="str">
        <x:v>ログアウト後にSessionを利用できない</x:v>
      </x:c>
      <x:c r="E11" s="32" t="str">
        <x:v>ログイン済み</x:v>
      </x:c>
      <x:c r="F11" s="32" t="str">
        <x:v>ログアウト→保護画面へ再アクセス</x:v>
      </x:c>
      <x:c r="G11" s="32" t="str">
        <x:v>－</x:v>
      </x:c>
      <x:c r="H11" s="32" t="str">
        <x:v>Sessionが破棄され、ログイン画面へ戻る</x:v>
      </x:c>
      <x:c r="I11" s="32" t="str">
        <x:v>正常</x:v>
      </x:c>
      <x:c r="J11" s="32" t="str">
        <x:v>手動</x:v>
      </x:c>
      <x:c r="K11" s="32" t="str">
        <x:v>－</x:v>
      </x:c>
      <x:c r="L11" s="32" t="str">
        <x:v>高</x:v>
      </x:c>
      <x:c r="M11" s="32" t="str">
        <x:v>未実施</x:v>
      </x:c>
      <x:c r="N11" s="37"/>
      <x:c r="O11" s="32"/>
      <x:c r="P11" s="33"/>
    </x:row>
    <x:row r="12">
      <x:c r="A12" s="31" t="str">
        <x:v>ONB-001</x:v>
      </x:c>
      <x:c r="B12" s="32" t="str">
        <x:v>オンボーディング</x:v>
      </x:c>
      <x:c r="C12" s="32" t="str">
        <x:v>レベル選択</x:v>
      </x:c>
      <x:c r="D12" s="32" t="str">
        <x:v>初心者を保存できる</x:v>
      </x:c>
      <x:c r="E12" s="32" t="str">
        <x:v>ログイン済み・レベル未選択</x:v>
      </x:c>
      <x:c r="F12" s="32" t="str">
        <x:v>初心者カードを選択</x:v>
      </x:c>
      <x:c r="G12" s="32" t="str">
        <x:v>BEGINNER</x:v>
      </x:c>
      <x:c r="H12" s="32" t="str">
        <x:v>User Profileへ保存され、Dashboardへ進む</x:v>
      </x:c>
      <x:c r="I12" s="32" t="str">
        <x:v>正常</x:v>
      </x:c>
      <x:c r="J12" s="32" t="str">
        <x:v>自動</x:v>
      </x:c>
      <x:c r="K12" s="32" t="str">
        <x:v>EnglishLevelPage.test.tsx / AuthIntegrationTest</x:v>
      </x:c>
      <x:c r="L12" s="32" t="str">
        <x:v>高</x:v>
      </x:c>
      <x:c r="M12" s="32" t="str">
        <x:v>OK</x:v>
      </x:c>
      <x:c r="N12" s="37" t="n">
        <x:v>46245</x:v>
      </x:c>
      <x:c r="O12" s="32" t="str">
        <x:v>Codex</x:v>
      </x:c>
      <x:c r="P12" s="33" t="str">
        <x:v>npm test --prefix frontend: 8/8 passed</x:v>
      </x:c>
    </x:row>
    <x:row r="13">
      <x:c r="A13" s="31" t="str">
        <x:v>ONB-002</x:v>
      </x:c>
      <x:c r="B13" s="32" t="str">
        <x:v>オンボーディング</x:v>
      </x:c>
      <x:c r="C13" s="32" t="str">
        <x:v>レベル選択</x:v>
      </x:c>
      <x:c r="D13" s="32" t="str">
        <x:v>中級・上級を保存できる</x:v>
      </x:c>
      <x:c r="E13" s="32" t="str">
        <x:v>ログイン済み・レベル未選択</x:v>
      </x:c>
      <x:c r="F13" s="32" t="str">
        <x:v>各カードを選択して再ログイン後も確認</x:v>
      </x:c>
      <x:c r="G13" s="32" t="str">
        <x:v>INTERMEDIATE / ADVANCED</x:v>
      </x:c>
      <x:c r="H13" s="32" t="str">
        <x:v>選択値が保持され、会話難易度へ反映される</x:v>
      </x:c>
      <x:c r="I13" s="32" t="str">
        <x:v>正常</x:v>
      </x:c>
      <x:c r="J13" s="32" t="str">
        <x:v>一部自動</x:v>
      </x:c>
      <x:c r="K13" s="32" t="str">
        <x:v>AuthIntegrationTest.englishLevelIsSavedAndReturnedForCurrentUser</x:v>
      </x:c>
      <x:c r="L13" s="32" t="str">
        <x:v>中</x:v>
      </x:c>
      <x:c r="M13" s="32" t="str">
        <x:v>未実施</x:v>
      </x:c>
      <x:c r="N13" s="37"/>
      <x:c r="O13" s="32"/>
      <x:c r="P13" s="33"/>
    </x:row>
    <x:row r="14">
      <x:c r="A14" s="31" t="str">
        <x:v>ONB-003</x:v>
      </x:c>
      <x:c r="B14" s="32" t="str">
        <x:v>オンボーディング</x:v>
      </x:c>
      <x:c r="C14" s="32" t="str">
        <x:v>CORS</x:v>
      </x:c>
      <x:c r="D14" s="32" t="str">
        <x:v>PUTのプリフライトが許可される</x:v>
      </x:c>
      <x:c r="E14" s="32" t="str">
        <x:v>Backend起動済み</x:v>
      </x:c>
      <x:c r="F14" s="32" t="str">
        <x:v>Origin付きOPTIONSを送信</x:v>
      </x:c>
      <x:c r="G14" s="32" t="str">
        <x:v>Method=PUT / Headers=content-type,x-xsrf-token</x:v>
      </x:c>
      <x:c r="H14" s="32" t="str">
        <x:v>200でPUTが許可される</x:v>
      </x:c>
      <x:c r="I14" s="32" t="str">
        <x:v>セキュリティ</x:v>
      </x:c>
      <x:c r="J14" s="32" t="str">
        <x:v>自動</x:v>
      </x:c>
      <x:c r="K14" s="32" t="str">
        <x:v>AuthIntegrationTest.englishLevelUpdateAllowsCorsPreflight</x:v>
      </x:c>
      <x:c r="L14" s="32" t="str">
        <x:v>高</x:v>
      </x:c>
      <x:c r="M14" s="32" t="str">
        <x:v>OK</x:v>
      </x:c>
      <x:c r="N14" s="37" t="n">
        <x:v>46245</x:v>
      </x:c>
      <x:c r="O14" s="32" t="str">
        <x:v>Codex</x:v>
      </x:c>
      <x:c r="P14" s="33" t="str">
        <x:v>./gradlew :backend:test: 10/10 passed</x:v>
      </x:c>
    </x:row>
    <x:row r="15">
      <x:c r="A15" s="31" t="str">
        <x:v>DASH-001</x:v>
      </x:c>
      <x:c r="B15" s="32" t="str">
        <x:v>ダッシュボード</x:v>
      </x:c>
      <x:c r="C15" s="32" t="str">
        <x:v>表示</x:v>
      </x:c>
      <x:c r="D15" s="32" t="str">
        <x:v>学習時間・継続日数・総学習日数を表示する</x:v>
      </x:c>
      <x:c r="E15" s="32" t="str">
        <x:v>学習履歴あり</x:v>
      </x:c>
      <x:c r="F15" s="32" t="str">
        <x:v>Dashboardを開く</x:v>
      </x:c>
      <x:c r="G15" s="32" t="str">
        <x:v>－</x:v>
      </x:c>
      <x:c r="H15" s="32" t="str">
        <x:v>各集計値とActivity Gridが表示される</x:v>
      </x:c>
      <x:c r="I15" s="32" t="str">
        <x:v>正常</x:v>
      </x:c>
      <x:c r="J15" s="32" t="str">
        <x:v>自動</x:v>
      </x:c>
      <x:c r="K15" s="32" t="str">
        <x:v>DashboardPage.test.tsx / ConversationIntegrationTest</x:v>
      </x:c>
      <x:c r="L15" s="32" t="str">
        <x:v>中</x:v>
      </x:c>
      <x:c r="M15" s="32" t="str">
        <x:v>OK</x:v>
      </x:c>
      <x:c r="N15" s="37" t="n">
        <x:v>46245</x:v>
      </x:c>
      <x:c r="O15" s="32" t="str">
        <x:v>Codex</x:v>
      </x:c>
      <x:c r="P15" s="33" t="str">
        <x:v>npm test --prefix frontend: 8/8 passed</x:v>
      </x:c>
    </x:row>
    <x:row r="16">
      <x:c r="A16" s="31" t="str">
        <x:v>DASH-002</x:v>
      </x:c>
      <x:c r="B16" s="32" t="str">
        <x:v>ダッシュボード</x:v>
      </x:c>
      <x:c r="C16" s="32" t="str">
        <x:v>導線</x:v>
      </x:c>
      <x:c r="D16" s="32" t="str">
        <x:v>新規会話と履歴へ遷移できる</x:v>
      </x:c>
      <x:c r="E16" s="32" t="str">
        <x:v>ログイン済み・レベル選択済み</x:v>
      </x:c>
      <x:c r="F16" s="32" t="str">
        <x:v>各リンク・ボタンを操作</x:v>
      </x:c>
      <x:c r="G16" s="32" t="str">
        <x:v>－</x:v>
      </x:c>
      <x:c r="H16" s="32" t="str">
        <x:v>会話画面または履歴画面へ進む</x:v>
      </x:c>
      <x:c r="I16" s="32" t="str">
        <x:v>正常</x:v>
      </x:c>
      <x:c r="J16" s="32" t="str">
        <x:v>自動</x:v>
      </x:c>
      <x:c r="K16" s="32" t="str">
        <x:v>DashboardPage.test.tsx</x:v>
      </x:c>
      <x:c r="L16" s="32" t="str">
        <x:v>中</x:v>
      </x:c>
      <x:c r="M16" s="32" t="str">
        <x:v>OK</x:v>
      </x:c>
      <x:c r="N16" s="37" t="n">
        <x:v>46245</x:v>
      </x:c>
      <x:c r="O16" s="32" t="str">
        <x:v>Codex</x:v>
      </x:c>
      <x:c r="P16" s="33" t="str">
        <x:v>npm test --prefix frontend: 8/8 passed</x:v>
      </x:c>
    </x:row>
    <x:row r="17">
      <x:c r="A17" s="31" t="str">
        <x:v>DASH-003</x:v>
      </x:c>
      <x:c r="B17" s="32" t="str">
        <x:v>ダッシュボード</x:v>
      </x:c>
      <x:c r="C17" s="32" t="str">
        <x:v>集計</x:v>
      </x:c>
      <x:c r="D17" s="32" t="str">
        <x:v>進行中会話の時間を現在時刻まで集計する</x:v>
      </x:c>
      <x:c r="E17" s="32" t="str">
        <x:v>ACTIVE Sessionあり</x:v>
      </x:c>
      <x:c r="F17" s="32" t="str">
        <x:v>Dashboardを複数時点で取得</x:v>
      </x:c>
      <x:c r="G17" s="32" t="str">
        <x:v>－</x:v>
      </x:c>
      <x:c r="H17" s="32" t="str">
        <x:v>todayStudySecondsが経過時間に応じて増える</x:v>
      </x:c>
      <x:c r="I17" s="32" t="str">
        <x:v>境界</x:v>
      </x:c>
      <x:c r="J17" s="32" t="str">
        <x:v>手動</x:v>
      </x:c>
      <x:c r="K17" s="32" t="str">
        <x:v>－</x:v>
      </x:c>
      <x:c r="L17" s="32" t="str">
        <x:v>低</x:v>
      </x:c>
      <x:c r="M17" s="32" t="str">
        <x:v>未実施</x:v>
      </x:c>
      <x:c r="N17" s="37"/>
      <x:c r="O17" s="32"/>
      <x:c r="P17" s="33"/>
    </x:row>
    <x:row r="18">
      <x:c r="A18" s="31" t="str">
        <x:v>CONV-001</x:v>
      </x:c>
      <x:c r="B18" s="32" t="str">
        <x:v>会話</x:v>
      </x:c>
      <x:c r="C18" s="32" t="str">
        <x:v>開始</x:v>
      </x:c>
      <x:c r="D18" s="32" t="str">
        <x:v>新しい会話を開始する</x:v>
      </x:c>
      <x:c r="E18" s="32" t="str">
        <x:v>ACTIVE会話なし</x:v>
      </x:c>
      <x:c r="F18" s="32" t="str">
        <x:v>会話を始める</x:v>
      </x:c>
      <x:c r="G18" s="32" t="str">
        <x:v>選択済みEnglishLevel</x:v>
      </x:c>
      <x:c r="H18" s="32" t="str">
        <x:v>201、ACTIVE Sessionとレベル別AI挨拶が返る</x:v>
      </x:c>
      <x:c r="I18" s="32" t="str">
        <x:v>正常</x:v>
      </x:c>
      <x:c r="J18" s="32" t="str">
        <x:v>自動</x:v>
      </x:c>
      <x:c r="K18" s="32" t="str">
        <x:v>ConversationIntegrationTest / happy-path.spec.ts</x:v>
      </x:c>
      <x:c r="L18" s="32" t="str">
        <x:v>高</x:v>
      </x:c>
      <x:c r="M18" s="32" t="str">
        <x:v>OK</x:v>
      </x:c>
      <x:c r="N18" s="37" t="n">
        <x:v>46245</x:v>
      </x:c>
      <x:c r="O18" s="32" t="str">
        <x:v>Codex</x:v>
      </x:c>
      <x:c r="P18" s="33" t="str">
        <x:v>./gradlew :backend:test: 10/10 passed</x:v>
      </x:c>
    </x:row>
    <x:row r="19">
      <x:c r="A19" s="31" t="str">
        <x:v>CONV-002</x:v>
      </x:c>
      <x:c r="B19" s="32" t="str">
        <x:v>会話</x:v>
      </x:c>
      <x:c r="C19" s="32" t="str">
        <x:v>開始</x:v>
      </x:c>
      <x:c r="D19" s="32" t="str">
        <x:v>ACTIVE会話がある場合は再利用する</x:v>
      </x:c>
      <x:c r="E19" s="32" t="str">
        <x:v>ACTIVE会話あり</x:v>
      </x:c>
      <x:c r="F19" s="32" t="str">
        <x:v>再度会話開始APIを呼ぶ</x:v>
      </x:c>
      <x:c r="G19" s="32" t="str">
        <x:v>－</x:v>
      </x:c>
      <x:c r="H19" s="32" t="str">
        <x:v>200、同じConversation IDが返り重複作成されない</x:v>
      </x:c>
      <x:c r="I19" s="32" t="str">
        <x:v>境界</x:v>
      </x:c>
      <x:c r="J19" s="32" t="str">
        <x:v>手動</x:v>
      </x:c>
      <x:c r="K19" s="32" t="str">
        <x:v>－</x:v>
      </x:c>
      <x:c r="L19" s="32" t="str">
        <x:v>高</x:v>
      </x:c>
      <x:c r="M19" s="32" t="str">
        <x:v>未実施</x:v>
      </x:c>
      <x:c r="N19" s="37"/>
      <x:c r="O19" s="32"/>
      <x:c r="P19" s="33"/>
    </x:row>
    <x:row r="20">
      <x:c r="A20" s="31" t="str">
        <x:v>CONV-003</x:v>
      </x:c>
      <x:c r="B20" s="32" t="str">
        <x:v>会話</x:v>
      </x:c>
      <x:c r="C20" s="32" t="str">
        <x:v>送信</x:v>
      </x:c>
      <x:c r="D20" s="32" t="str">
        <x:v>USER発言とAI返信を順番に保存する</x:v>
      </x:c>
      <x:c r="E20" s="32" t="str">
        <x:v>ACTIVE会話あり</x:v>
      </x:c>
      <x:c r="F20" s="32" t="str">
        <x:v>英文を入力して送信</x:v>
      </x:c>
      <x:c r="G20" s="32" t="str">
        <x:v>I went hiking this weekend.</x:v>
      </x:c>
      <x:c r="H20" s="32" t="str">
        <x:v>USER→ASSISTANTの順でsequenceNoが増え、画面へ表示される</x:v>
      </x:c>
      <x:c r="I20" s="32" t="str">
        <x:v>正常</x:v>
      </x:c>
      <x:c r="J20" s="32" t="str">
        <x:v>自動</x:v>
      </x:c>
      <x:c r="K20" s="32" t="str">
        <x:v>ConversationIntegrationTest / happy-path.spec.ts</x:v>
      </x:c>
      <x:c r="L20" s="32" t="str">
        <x:v>高</x:v>
      </x:c>
      <x:c r="M20" s="32" t="str">
        <x:v>OK</x:v>
      </x:c>
      <x:c r="N20" s="37" t="n">
        <x:v>46245</x:v>
      </x:c>
      <x:c r="O20" s="32" t="str">
        <x:v>Codex</x:v>
      </x:c>
      <x:c r="P20" s="33" t="str">
        <x:v>./gradlew :backend:test: 10/10 passed</x:v>
      </x:c>
    </x:row>
    <x:row r="21">
      <x:c r="A21" s="31" t="str">
        <x:v>CONV-004</x:v>
      </x:c>
      <x:c r="B21" s="32" t="str">
        <x:v>会話</x:v>
      </x:c>
      <x:c r="C21" s="32" t="str">
        <x:v>入力</x:v>
      </x:c>
      <x:c r="D21" s="32" t="str">
        <x:v>空白メッセージを送信できない</x:v>
      </x:c>
      <x:c r="E21" s="32" t="str">
        <x:v>ACTIVE会話あり</x:v>
      </x:c>
      <x:c r="F21" s="32" t="str">
        <x:v>空白だけを入力</x:v>
      </x:c>
      <x:c r="G21" s="32" t="str">
        <x:v>スペースのみ</x:v>
      </x:c>
      <x:c r="H21" s="32" t="str">
        <x:v>送信ボタン無効または400となり、Messageは保存されない</x:v>
      </x:c>
      <x:c r="I21" s="32" t="str">
        <x:v>異常</x:v>
      </x:c>
      <x:c r="J21" s="32" t="str">
        <x:v>手動</x:v>
      </x:c>
      <x:c r="K21" s="32" t="str">
        <x:v>－</x:v>
      </x:c>
      <x:c r="L21" s="32" t="str">
        <x:v>高</x:v>
      </x:c>
      <x:c r="M21" s="32" t="str">
        <x:v>未実施</x:v>
      </x:c>
      <x:c r="N21" s="37"/>
      <x:c r="O21" s="32"/>
      <x:c r="P21" s="33"/>
    </x:row>
    <x:row r="22">
      <x:c r="A22" s="31" t="str">
        <x:v>CONV-005</x:v>
      </x:c>
      <x:c r="B22" s="32" t="str">
        <x:v>会話</x:v>
      </x:c>
      <x:c r="C22" s="32" t="str">
        <x:v>入力</x:v>
      </x:c>
      <x:c r="D22" s="32" t="str">
        <x:v>2,000文字を超える発言を拒否する</x:v>
      </x:c>
      <x:c r="E22" s="32" t="str">
        <x:v>ACTIVE会話あり</x:v>
      </x:c>
      <x:c r="F22" s="32" t="str">
        <x:v>上限超過文字列を送信</x:v>
      </x:c>
      <x:c r="G22" s="32" t="str">
        <x:v>2,001文字</x:v>
      </x:c>
      <x:c r="H22" s="32" t="str">
        <x:v>400となり、Messageは保存されない</x:v>
      </x:c>
      <x:c r="I22" s="32" t="str">
        <x:v>境界</x:v>
      </x:c>
      <x:c r="J22" s="32" t="str">
        <x:v>手動</x:v>
      </x:c>
      <x:c r="K22" s="32" t="str">
        <x:v>－</x:v>
      </x:c>
      <x:c r="L22" s="32" t="str">
        <x:v>中</x:v>
      </x:c>
      <x:c r="M22" s="32" t="str">
        <x:v>未実施</x:v>
      </x:c>
      <x:c r="N22" s="37"/>
      <x:c r="O22" s="32"/>
      <x:c r="P22" s="33"/>
    </x:row>
    <x:row r="23">
      <x:c r="A23" s="31" t="str">
        <x:v>CONV-006</x:v>
      </x:c>
      <x:c r="B23" s="32" t="str">
        <x:v>会話</x:v>
      </x:c>
      <x:c r="C23" s="32" t="str">
        <x:v>上限</x:v>
      </x:c>
      <x:c r="D23" s="32" t="str">
        <x:v>USER発言50件を超えて送信できない</x:v>
      </x:c>
      <x:c r="E23" s="32" t="str">
        <x:v>USER発言50件のACTIVE会話</x:v>
      </x:c>
      <x:c r="F23" s="32" t="str">
        <x:v>51件目を送信</x:v>
      </x:c>
      <x:c r="G23" s="32" t="str">
        <x:v>有効な英文</x:v>
      </x:c>
      <x:c r="H23" s="32" t="str">
        <x:v>409と上限メッセージが返る</x:v>
      </x:c>
      <x:c r="I23" s="32" t="str">
        <x:v>境界</x:v>
      </x:c>
      <x:c r="J23" s="32" t="str">
        <x:v>手動</x:v>
      </x:c>
      <x:c r="K23" s="32" t="str">
        <x:v>－</x:v>
      </x:c>
      <x:c r="L23" s="32" t="str">
        <x:v>中</x:v>
      </x:c>
      <x:c r="M23" s="32" t="str">
        <x:v>未実施</x:v>
      </x:c>
      <x:c r="N23" s="37"/>
      <x:c r="O23" s="32"/>
      <x:c r="P23" s="33"/>
    </x:row>
    <x:row r="24">
      <x:c r="A24" s="31" t="str">
        <x:v>CONV-007</x:v>
      </x:c>
      <x:c r="B24" s="32" t="str">
        <x:v>会話</x:v>
      </x:c>
      <x:c r="C24" s="32" t="str">
        <x:v>認可</x:v>
      </x:c>
      <x:c r="D24" s="32" t="str">
        <x:v>他ユーザーの会話を参照できない</x:v>
      </x:c>
      <x:c r="E24" s="32" t="str">
        <x:v>User Aの会話・User Bで認証</x:v>
      </x:c>
      <x:c r="F24" s="32" t="str">
        <x:v>User Bが会話詳細を取得</x:v>
      </x:c>
      <x:c r="G24" s="32" t="str">
        <x:v>User AのConversation ID</x:v>
      </x:c>
      <x:c r="H24" s="32" t="str">
        <x:v>404となり内容を取得できない</x:v>
      </x:c>
      <x:c r="I24" s="32" t="str">
        <x:v>セキュリティ</x:v>
      </x:c>
      <x:c r="J24" s="32" t="str">
        <x:v>自動</x:v>
      </x:c>
      <x:c r="K24" s="32" t="str">
        <x:v>ConversationIntegrationTest.conversationIsOrderedAndOwnershipIsHidden</x:v>
      </x:c>
      <x:c r="L24" s="32" t="str">
        <x:v>高</x:v>
      </x:c>
      <x:c r="M24" s="32" t="str">
        <x:v>OK</x:v>
      </x:c>
      <x:c r="N24" s="37" t="n">
        <x:v>46245</x:v>
      </x:c>
      <x:c r="O24" s="32" t="str">
        <x:v>Codex</x:v>
      </x:c>
      <x:c r="P24" s="33" t="str">
        <x:v>./gradlew :backend:test: 10/10 passed</x:v>
      </x:c>
    </x:row>
    <x:row r="25">
      <x:c r="A25" s="31" t="str">
        <x:v>CONV-008</x:v>
      </x:c>
      <x:c r="B25" s="32" t="str">
        <x:v>会話</x:v>
      </x:c>
      <x:c r="C25" s="32" t="str">
        <x:v>終了後</x:v>
      </x:c>
      <x:c r="D25" s="32" t="str">
        <x:v>終了済み会話へ送信できない</x:v>
      </x:c>
      <x:c r="E25" s="32" t="str">
        <x:v>ENDED会話あり</x:v>
      </x:c>
      <x:c r="F25" s="32" t="str">
        <x:v>メッセージ送信APIを呼ぶ</x:v>
      </x:c>
      <x:c r="G25" s="32" t="str">
        <x:v>有効な英文</x:v>
      </x:c>
      <x:c r="H25" s="32" t="str">
        <x:v>409となりMessageは追加されない</x:v>
      </x:c>
      <x:c r="I25" s="32" t="str">
        <x:v>異常</x:v>
      </x:c>
      <x:c r="J25" s="32" t="str">
        <x:v>自動</x:v>
      </x:c>
      <x:c r="K25" s="32" t="str">
        <x:v>ConversationIntegrationTest</x:v>
      </x:c>
      <x:c r="L25" s="32" t="str">
        <x:v>高</x:v>
      </x:c>
      <x:c r="M25" s="32" t="str">
        <x:v>OK</x:v>
      </x:c>
      <x:c r="N25" s="37" t="n">
        <x:v>46245</x:v>
      </x:c>
      <x:c r="O25" s="32" t="str">
        <x:v>Codex</x:v>
      </x:c>
      <x:c r="P25" s="33" t="str">
        <x:v>./gradlew :backend:test: 10/10 passed</x:v>
      </x:c>
    </x:row>
    <x:row r="26">
      <x:c r="A26" s="31" t="str">
        <x:v>CONV-009</x:v>
      </x:c>
      <x:c r="B26" s="32" t="str">
        <x:v>会話品質</x:v>
      </x:c>
      <x:c r="C26" s="32" t="str">
        <x:v>話題追従</x:v>
      </x:c>
      <x:c r="D26" s="32" t="str">
        <x:v>直近の話題に関連したAI応答を返す</x:v>
      </x:c>
      <x:c r="E26" s="32" t="str">
        <x:v>Local AI・ACTIVE会話</x:v>
      </x:c>
      <x:c r="F26" s="32" t="str">
        <x:v>ハイキングについて送信</x:v>
      </x:c>
      <x:c r="G26" s="32" t="str">
        <x:v>I went hiking in the mountains.</x:v>
      </x:c>
      <x:c r="H26" s="32" t="str">
        <x:v>trail/walkなど話題に関連した応答で、旧固定質問を返さない</x:v>
      </x:c>
      <x:c r="I26" s="32" t="str">
        <x:v>品質</x:v>
      </x:c>
      <x:c r="J26" s="32" t="str">
        <x:v>自動</x:v>
      </x:c>
      <x:c r="K26" s="32" t="str">
        <x:v>LocalAiClientTest.replyBuildsOnTheLatestTopic</x:v>
      </x:c>
      <x:c r="L26" s="32" t="str">
        <x:v>高</x:v>
      </x:c>
      <x:c r="M26" s="32" t="str">
        <x:v>OK</x:v>
      </x:c>
      <x:c r="N26" s="37" t="n">
        <x:v>46245</x:v>
      </x:c>
      <x:c r="O26" s="32" t="str">
        <x:v>Codex</x:v>
      </x:c>
      <x:c r="P26" s="33" t="str">
        <x:v>./gradlew :backend:test: 10/10 passed</x:v>
      </x:c>
    </x:row>
    <x:row r="27">
      <x:c r="A27" s="31" t="str">
        <x:v>CONV-010</x:v>
      </x:c>
      <x:c r="B27" s="32" t="str">
        <x:v>会話品質</x:v>
      </x:c>
      <x:c r="C27" s="32" t="str">
        <x:v>レベル</x:v>
      </x:c>
      <x:c r="D27" s="32" t="str">
        <x:v>レベルに応じて語彙・文長が変わる</x:v>
      </x:c>
      <x:c r="E27" s="32" t="str">
        <x:v>各EnglishLevelのUser</x:v>
      </x:c>
      <x:c r="F27" s="32" t="str">
        <x:v>同じ内容で会話する</x:v>
      </x:c>
      <x:c r="G27" s="32" t="str">
        <x:v>同一英文</x:v>
      </x:c>
      <x:c r="H27" s="32" t="str">
        <x:v>BEGINNERは短く平易、ADVANCEDは自然で多様な表現になる</x:v>
      </x:c>
      <x:c r="I27" s="32" t="str">
        <x:v>品質</x:v>
      </x:c>
      <x:c r="J27" s="32" t="str">
        <x:v>手動</x:v>
      </x:c>
      <x:c r="K27" s="32" t="str">
        <x:v>－</x:v>
      </x:c>
      <x:c r="L27" s="32" t="str">
        <x:v>高</x:v>
      </x:c>
      <x:c r="M27" s="32" t="str">
        <x:v>未実施</x:v>
      </x:c>
      <x:c r="N27" s="37"/>
      <x:c r="O27" s="32"/>
      <x:c r="P27" s="33"/>
    </x:row>
    <x:row r="28">
      <x:c r="A28" s="31" t="str">
        <x:v>CONV-011</x:v>
      </x:c>
      <x:c r="B28" s="32" t="str">
        <x:v>会話品質</x:v>
      </x:c>
      <x:c r="C28" s="32" t="str">
        <x:v>文脈</x:v>
      </x:c>
      <x:c r="D28" s="32" t="str">
        <x:v>同じ質問を不自然に繰り返さない</x:v>
      </x:c>
      <x:c r="E28" s="32" t="str">
        <x:v>3ターン以上の会話</x:v>
      </x:c>
      <x:c r="F28" s="32" t="str">
        <x:v>同じ話題で会話を継続</x:v>
      </x:c>
      <x:c r="G28" s="32" t="str">
        <x:v>複数発言</x:v>
      </x:c>
      <x:c r="H28" s="32" t="str">
        <x:v>直前回答へ反応し、同一質問の連続がない</x:v>
      </x:c>
      <x:c r="I28" s="32" t="str">
        <x:v>品質</x:v>
      </x:c>
      <x:c r="J28" s="32" t="str">
        <x:v>手動</x:v>
      </x:c>
      <x:c r="K28" s="32" t="str">
        <x:v>－</x:v>
      </x:c>
      <x:c r="L28" s="32" t="str">
        <x:v>高</x:v>
      </x:c>
      <x:c r="M28" s="32" t="str">
        <x:v>未実施</x:v>
      </x:c>
      <x:c r="N28" s="37"/>
      <x:c r="O28" s="32"/>
      <x:c r="P28" s="33"/>
    </x:row>
    <x:row r="29">
      <x:c r="A29" s="31" t="str">
        <x:v>UI-001</x:v>
      </x:c>
      <x:c r="B29" s="32" t="str">
        <x:v>会話UI</x:v>
      </x:c>
      <x:c r="C29" s="32" t="str">
        <x:v>終了導線</x:v>
      </x:c>
      <x:c r="D29" s="32" t="str">
        <x:v>画面上部と入力欄下部に終了ボタンがある</x:v>
      </x:c>
      <x:c r="E29" s="32" t="str">
        <x:v>ACTIVE会話あり</x:v>
      </x:c>
      <x:c r="F29" s="32" t="str">
        <x:v>会話画面を開く</x:v>
      </x:c>
      <x:c r="G29" s="32" t="str">
        <x:v>－</x:v>
      </x:c>
      <x:c r="H29" s="32" t="str">
        <x:v>会話を終了ボタンが2か所に表示される</x:v>
      </x:c>
      <x:c r="I29" s="32" t="str">
        <x:v>UI</x:v>
      </x:c>
      <x:c r="J29" s="32" t="str">
        <x:v>自動</x:v>
      </x:c>
      <x:c r="K29" s="32" t="str">
        <x:v>App.test.tsx</x:v>
      </x:c>
      <x:c r="L29" s="32" t="str">
        <x:v>高</x:v>
      </x:c>
      <x:c r="M29" s="32" t="str">
        <x:v>OK</x:v>
      </x:c>
      <x:c r="N29" s="37" t="n">
        <x:v>46245</x:v>
      </x:c>
      <x:c r="O29" s="32" t="str">
        <x:v>Codex</x:v>
      </x:c>
      <x:c r="P29" s="33" t="str">
        <x:v>npm test --prefix frontend: 8/8 passed</x:v>
      </x:c>
    </x:row>
    <x:row r="30">
      <x:c r="A30" s="31" t="str">
        <x:v>UI-002</x:v>
      </x:c>
      <x:c r="B30" s="32" t="str">
        <x:v>会話UI</x:v>
      </x:c>
      <x:c r="C30" s="32" t="str">
        <x:v>終了導線</x:v>
      </x:c>
      <x:c r="D30" s="32" t="str">
        <x:v>下部終了ボタンから会話を終了できる</x:v>
      </x:c>
      <x:c r="E30" s="32" t="str">
        <x:v>USER発言済みACTIVE会話</x:v>
      </x:c>
      <x:c r="F30" s="32" t="str">
        <x:v>入力欄下部の終了ボタンを押す</x:v>
      </x:c>
      <x:c r="G30" s="32" t="str">
        <x:v>－</x:v>
      </x:c>
      <x:c r="H30" s="32" t="str">
        <x:v>finish APIが呼ばれ、ENDED表示へ変わる</x:v>
      </x:c>
      <x:c r="I30" s="32" t="str">
        <x:v>正常</x:v>
      </x:c>
      <x:c r="J30" s="32" t="str">
        <x:v>自動</x:v>
      </x:c>
      <x:c r="K30" s="32" t="str">
        <x:v>App.test.tsx</x:v>
      </x:c>
      <x:c r="L30" s="32" t="str">
        <x:v>高</x:v>
      </x:c>
      <x:c r="M30" s="32" t="str">
        <x:v>OK</x:v>
      </x:c>
      <x:c r="N30" s="37" t="n">
        <x:v>46245</x:v>
      </x:c>
      <x:c r="O30" s="32" t="str">
        <x:v>Codex</x:v>
      </x:c>
      <x:c r="P30" s="33" t="str">
        <x:v>npm test --prefix frontend: 8/8 passed</x:v>
      </x:c>
    </x:row>
    <x:row r="31">
      <x:c r="A31" s="31" t="str">
        <x:v>UI-003</x:v>
      </x:c>
      <x:c r="B31" s="32" t="str">
        <x:v>会話UI</x:v>
      </x:c>
      <x:c r="C31" s="32" t="str">
        <x:v>キーボード</x:v>
      </x:c>
      <x:c r="D31" s="32" t="str">
        <x:v>Enter送信・Shift+Enter改行が動作する</x:v>
      </x:c>
      <x:c r="E31" s="32" t="str">
        <x:v>ACTIVE会話あり</x:v>
      </x:c>
      <x:c r="F31" s="32" t="str">
        <x:v>各キー操作を行う</x:v>
      </x:c>
      <x:c r="G31" s="32" t="str">
        <x:v>英文</x:v>
      </x:c>
      <x:c r="H31" s="32" t="str">
        <x:v>Enterは送信、Shift+Enterはtextarea内改行になる</x:v>
      </x:c>
      <x:c r="I31" s="32" t="str">
        <x:v>UI</x:v>
      </x:c>
      <x:c r="J31" s="32" t="str">
        <x:v>手動</x:v>
      </x:c>
      <x:c r="K31" s="32" t="str">
        <x:v>－</x:v>
      </x:c>
      <x:c r="L31" s="32" t="str">
        <x:v>中</x:v>
      </x:c>
      <x:c r="M31" s="32" t="str">
        <x:v>未実施</x:v>
      </x:c>
      <x:c r="N31" s="37"/>
      <x:c r="O31" s="32"/>
      <x:c r="P31" s="33"/>
    </x:row>
    <x:row r="32">
      <x:c r="A32" s="31" t="str">
        <x:v>UI-004</x:v>
      </x:c>
      <x:c r="B32" s="32" t="str">
        <x:v>会話UI</x:v>
      </x:c>
      <x:c r="C32" s="32" t="str">
        <x:v>レスポンシブ</x:v>
      </x:c>
      <x:c r="D32" s="32" t="str">
        <x:v>モバイル幅で主要操作が欠けない</x:v>
      </x:c>
      <x:c r="E32" s="32" t="str">
        <x:v>幅375px相当</x:v>
      </x:c>
      <x:c r="F32" s="32" t="str">
        <x:v>長い会話を表示して上下へスクロール</x:v>
      </x:c>
      <x:c r="G32" s="32" t="str">
        <x:v>－</x:v>
      </x:c>
      <x:c r="H32" s="32" t="str">
        <x:v>Message、入力、送信、終了操作が利用でき横スクロールしない</x:v>
      </x:c>
      <x:c r="I32" s="32" t="str">
        <x:v>UI</x:v>
      </x:c>
      <x:c r="J32" s="32" t="str">
        <x:v>手動</x:v>
      </x:c>
      <x:c r="K32" s="32" t="str">
        <x:v>－</x:v>
      </x:c>
      <x:c r="L32" s="32" t="str">
        <x:v>高</x:v>
      </x:c>
      <x:c r="M32" s="32" t="str">
        <x:v>未実施</x:v>
      </x:c>
      <x:c r="N32" s="37"/>
      <x:c r="O32" s="32"/>
      <x:c r="P32" s="33"/>
    </x:row>
    <x:row r="33">
      <x:c r="A33" s="31" t="str">
        <x:v>TRANS-001</x:v>
      </x:c>
      <x:c r="B33" s="32" t="str">
        <x:v>翻訳</x:v>
      </x:c>
      <x:c r="C33" s="32" t="str">
        <x:v>初回取得</x:v>
      </x:c>
      <x:c r="D33" s="32" t="str">
        <x:v>AIメッセージだけを翻訳できる</x:v>
      </x:c>
      <x:c r="E33" s="32" t="str">
        <x:v>AI Messageあり・未翻訳</x:v>
      </x:c>
      <x:c r="F33" s="32" t="str">
        <x:v>日本語訳を見るを押す</x:v>
      </x:c>
      <x:c r="G33" s="32" t="str">
        <x:v>－</x:v>
      </x:c>
      <x:c r="H33" s="32" t="str">
        <x:v>翻訳APIが呼ばれ、日本語訳が表示される</x:v>
      </x:c>
      <x:c r="I33" s="32" t="str">
        <x:v>正常</x:v>
      </x:c>
      <x:c r="J33" s="32" t="str">
        <x:v>自動</x:v>
      </x:c>
      <x:c r="K33" s="32" t="str">
        <x:v>ConversationSupport.test.tsx / ConversationIntegrationTest</x:v>
      </x:c>
      <x:c r="L33" s="32" t="str">
        <x:v>中</x:v>
      </x:c>
      <x:c r="M33" s="32" t="str">
        <x:v>OK</x:v>
      </x:c>
      <x:c r="N33" s="37" t="n">
        <x:v>46245</x:v>
      </x:c>
      <x:c r="O33" s="32" t="str">
        <x:v>Codex</x:v>
      </x:c>
      <x:c r="P33" s="33" t="str">
        <x:v>npm test --prefix frontend: 8/8 passed</x:v>
      </x:c>
    </x:row>
    <x:row r="34">
      <x:c r="A34" s="31" t="str">
        <x:v>TRANS-002</x:v>
      </x:c>
      <x:c r="B34" s="32" t="str">
        <x:v>翻訳</x:v>
      </x:c>
      <x:c r="C34" s="32" t="str">
        <x:v>再利用</x:v>
      </x:c>
      <x:c r="D34" s="32" t="str">
        <x:v>保存済み翻訳を再利用する</x:v>
      </x:c>
      <x:c r="E34" s="32" t="str">
        <x:v>translation保存済み</x:v>
      </x:c>
      <x:c r="F34" s="32" t="str">
        <x:v>訳を閉じて再度開く</x:v>
      </x:c>
      <x:c r="G34" s="32" t="str">
        <x:v>－</x:v>
      </x:c>
      <x:c r="H34" s="32" t="str">
        <x:v>追加AI呼び出しなしで保存済み訳を表示する</x:v>
      </x:c>
      <x:c r="I34" s="32" t="str">
        <x:v>正常</x:v>
      </x:c>
      <x:c r="J34" s="32" t="str">
        <x:v>手動</x:v>
      </x:c>
      <x:c r="K34" s="32" t="str">
        <x:v>－</x:v>
      </x:c>
      <x:c r="L34" s="32" t="str">
        <x:v>中</x:v>
      </x:c>
      <x:c r="M34" s="32" t="str">
        <x:v>未実施</x:v>
      </x:c>
      <x:c r="N34" s="37"/>
      <x:c r="O34" s="32"/>
      <x:c r="P34" s="33"/>
    </x:row>
    <x:row r="35">
      <x:c r="A35" s="31" t="str">
        <x:v>TRANS-003</x:v>
      </x:c>
      <x:c r="B35" s="32" t="str">
        <x:v>翻訳</x:v>
      </x:c>
      <x:c r="C35" s="32" t="str">
        <x:v>認可</x:v>
      </x:c>
      <x:c r="D35" s="32" t="str">
        <x:v>USERメッセージを翻訳対象にできない</x:v>
      </x:c>
      <x:c r="E35" s="32" t="str">
        <x:v>USER Messageあり</x:v>
      </x:c>
      <x:c r="F35" s="32" t="str">
        <x:v>翻訳APIを直接呼ぶ</x:v>
      </x:c>
      <x:c r="G35" s="32" t="str">
        <x:v>USER Message ID</x:v>
      </x:c>
      <x:c r="H35" s="32" t="str">
        <x:v>400となる</x:v>
      </x:c>
      <x:c r="I35" s="32" t="str">
        <x:v>セキュリティ</x:v>
      </x:c>
      <x:c r="J35" s="32" t="str">
        <x:v>手動</x:v>
      </x:c>
      <x:c r="K35" s="32" t="str">
        <x:v>－</x:v>
      </x:c>
      <x:c r="L35" s="32" t="str">
        <x:v>中</x:v>
      </x:c>
      <x:c r="M35" s="32" t="str">
        <x:v>未実施</x:v>
      </x:c>
      <x:c r="N35" s="37"/>
      <x:c r="O35" s="32"/>
      <x:c r="P35" s="33"/>
    </x:row>
    <x:row r="36">
      <x:c r="A36" s="31" t="str">
        <x:v>FDBK-001</x:v>
      </x:c>
      <x:c r="B36" s="32" t="str">
        <x:v>フィードバック</x:v>
      </x:c>
      <x:c r="C36" s="32" t="str">
        <x:v>終了</x:v>
      </x:c>
      <x:c r="D36" s="32" t="str">
        <x:v>USER発言なしでは会話を終了できない</x:v>
      </x:c>
      <x:c r="E36" s="32" t="str">
        <x:v>挨拶だけのACTIVE会話</x:v>
      </x:c>
      <x:c r="F36" s="32" t="str">
        <x:v>終了ボタンを押す</x:v>
      </x:c>
      <x:c r="G36" s="32" t="str">
        <x:v>－</x:v>
      </x:c>
      <x:c r="H36" s="32" t="str">
        <x:v>400と1件以上送信する案内が表示される</x:v>
      </x:c>
      <x:c r="I36" s="32" t="str">
        <x:v>異常</x:v>
      </x:c>
      <x:c r="J36" s="32" t="str">
        <x:v>手動</x:v>
      </x:c>
      <x:c r="K36" s="32" t="str">
        <x:v>－</x:v>
      </x:c>
      <x:c r="L36" s="32" t="str">
        <x:v>高</x:v>
      </x:c>
      <x:c r="M36" s="32" t="str">
        <x:v>未実施</x:v>
      </x:c>
      <x:c r="N36" s="37"/>
      <x:c r="O36" s="32"/>
      <x:c r="P36" s="33"/>
    </x:row>
    <x:row r="37">
      <x:c r="A37" s="31" t="str">
        <x:v>FDBK-002</x:v>
      </x:c>
      <x:c r="B37" s="32" t="str">
        <x:v>フィードバック</x:v>
      </x:c>
      <x:c r="C37" s="32" t="str">
        <x:v>非同期</x:v>
      </x:c>
      <x:c r="D37" s="32" t="str">
        <x:v>終了直後にGENERATING状態を返す</x:v>
      </x:c>
      <x:c r="E37" s="32" t="str">
        <x:v>USER発言済みACTIVE会話</x:v>
      </x:c>
      <x:c r="F37" s="32" t="str">
        <x:v>会話を終了</x:v>
      </x:c>
      <x:c r="G37" s="32" t="str">
        <x:v>－</x:v>
      </x:c>
      <x:c r="H37" s="32" t="str">
        <x:v>202、Conversation=ENDED、Feedback=GENERATINGとなる</x:v>
      </x:c>
      <x:c r="I37" s="32" t="str">
        <x:v>正常</x:v>
      </x:c>
      <x:c r="J37" s="32" t="str">
        <x:v>自動</x:v>
      </x:c>
      <x:c r="K37" s="32" t="str">
        <x:v>ConversationIntegrationTest</x:v>
      </x:c>
      <x:c r="L37" s="32" t="str">
        <x:v>高</x:v>
      </x:c>
      <x:c r="M37" s="32" t="str">
        <x:v>OK</x:v>
      </x:c>
      <x:c r="N37" s="37" t="n">
        <x:v>46245</x:v>
      </x:c>
      <x:c r="O37" s="32" t="str">
        <x:v>Codex</x:v>
      </x:c>
      <x:c r="P37" s="33" t="str">
        <x:v>./gradlew :backend:test: 10/10 passed</x:v>
      </x:c>
    </x:row>
    <x:row r="38">
      <x:c r="A38" s="31" t="str">
        <x:v>FDBK-003</x:v>
      </x:c>
      <x:c r="B38" s="32" t="str">
        <x:v>フィードバック</x:v>
      </x:c>
      <x:c r="C38" s="32" t="str">
        <x:v>完了</x:v>
      </x:c>
      <x:c r="D38" s="32" t="str">
        <x:v>生成完了後に教材形式で表示する</x:v>
      </x:c>
      <x:c r="E38" s="32" t="str">
        <x:v>Feedback生成成功</x:v>
      </x:c>
      <x:c r="F38" s="32" t="str">
        <x:v>完了まで待つ</x:v>
      </x:c>
      <x:c r="G38" s="32" t="str">
        <x:v>－</x:v>
      </x:c>
      <x:c r="H38" s="32" t="str">
        <x:v>summary、strengths、corrections、vocabularyTips、commentが表示される</x:v>
      </x:c>
      <x:c r="I38" s="32" t="str">
        <x:v>正常</x:v>
      </x:c>
      <x:c r="J38" s="32" t="str">
        <x:v>自動</x:v>
      </x:c>
      <x:c r="K38" s="32" t="str">
        <x:v>ConversationSupport.test.tsx / happy-path.spec.ts</x:v>
      </x:c>
      <x:c r="L38" s="32" t="str">
        <x:v>高</x:v>
      </x:c>
      <x:c r="M38" s="32" t="str">
        <x:v>OK</x:v>
      </x:c>
      <x:c r="N38" s="37" t="n">
        <x:v>46245</x:v>
      </x:c>
      <x:c r="O38" s="32" t="str">
        <x:v>Codex</x:v>
      </x:c>
      <x:c r="P38" s="33" t="str">
        <x:v>npm test --prefix frontend: 8/8 passed</x:v>
      </x:c>
    </x:row>
    <x:row r="39">
      <x:c r="A39" s="31" t="str">
        <x:v>FDBK-004</x:v>
      </x:c>
      <x:c r="B39" s="32" t="str">
        <x:v>フィードバック</x:v>
      </x:c>
      <x:c r="C39" s="32" t="str">
        <x:v>失敗</x:v>
      </x:c>
      <x:c r="D39" s="32" t="str">
        <x:v>生成失敗を白画面にせず表示する</x:v>
      </x:c>
      <x:c r="E39" s="32" t="str">
        <x:v>AIが2回失敗</x:v>
      </x:c>
      <x:c r="F39" s="32" t="str">
        <x:v>Feedback画面を開く</x:v>
      </x:c>
      <x:c r="G39" s="32" t="str">
        <x:v>－</x:v>
      </x:c>
      <x:c r="H39" s="32" t="str">
        <x:v>FAILED案内と再生成ボタンが表示される</x:v>
      </x:c>
      <x:c r="I39" s="32" t="str">
        <x:v>異常</x:v>
      </x:c>
      <x:c r="J39" s="32" t="str">
        <x:v>自動</x:v>
      </x:c>
      <x:c r="K39" s="32" t="str">
        <x:v>ConversationSupport.test.tsx</x:v>
      </x:c>
      <x:c r="L39" s="32" t="str">
        <x:v>高</x:v>
      </x:c>
      <x:c r="M39" s="32" t="str">
        <x:v>OK</x:v>
      </x:c>
      <x:c r="N39" s="37" t="n">
        <x:v>46245</x:v>
      </x:c>
      <x:c r="O39" s="32" t="str">
        <x:v>Codex</x:v>
      </x:c>
      <x:c r="P39" s="33" t="str">
        <x:v>npm test --prefix frontend: 8/8 passed</x:v>
      </x:c>
    </x:row>
    <x:row r="40">
      <x:c r="A40" s="31" t="str">
        <x:v>FDBK-005</x:v>
      </x:c>
      <x:c r="B40" s="32" t="str">
        <x:v>フィードバック</x:v>
      </x:c>
      <x:c r="C40" s="32" t="str">
        <x:v>再生成</x:v>
      </x:c>
      <x:c r="D40" s="32" t="str">
        <x:v>FAILEDから再生成できる</x:v>
      </x:c>
      <x:c r="E40" s="32" t="str">
        <x:v>Feedback=FAILED</x:v>
      </x:c>
      <x:c r="F40" s="32" t="str">
        <x:v>もう一度試すを押す</x:v>
      </x:c>
      <x:c r="G40" s="32" t="str">
        <x:v>－</x:v>
      </x:c>
      <x:c r="H40" s="32" t="str">
        <x:v>202、GENERATINGへ戻り、完了後に内容が表示される</x:v>
      </x:c>
      <x:c r="I40" s="32" t="str">
        <x:v>正常</x:v>
      </x:c>
      <x:c r="J40" s="32" t="str">
        <x:v>手動</x:v>
      </x:c>
      <x:c r="K40" s="32" t="str">
        <x:v>－</x:v>
      </x:c>
      <x:c r="L40" s="32" t="str">
        <x:v>中</x:v>
      </x:c>
      <x:c r="M40" s="32" t="str">
        <x:v>未実施</x:v>
      </x:c>
      <x:c r="N40" s="37"/>
      <x:c r="O40" s="32"/>
      <x:c r="P40" s="33"/>
    </x:row>
    <x:row r="41">
      <x:c r="A41" s="31" t="str">
        <x:v>FDBK-006</x:v>
      </x:c>
      <x:c r="B41" s="32" t="str">
        <x:v>フィードバック品質</x:v>
      </x:c>
      <x:c r="C41" s="32" t="str">
        <x:v>原文</x:v>
      </x:c>
      <x:c r="D41" s="32" t="str">
        <x:v>実際のUSER発言だけを訂正対象にする</x:v>
      </x:c>
      <x:c r="E41" s="32" t="str">
        <x:v>外部AI利用</x:v>
      </x:c>
      <x:c r="F41" s="32" t="str">
        <x:v>複数発言後に終了</x:v>
      </x:c>
      <x:c r="G41" s="32" t="str">
        <x:v>意図的な誤りを含む発言</x:v>
      </x:c>
      <x:c r="H41" s="32" t="str">
        <x:v>correction.originalが実際のUSER発言に含まれ、AI発言を引用しない</x:v>
      </x:c>
      <x:c r="I41" s="32" t="str">
        <x:v>品質</x:v>
      </x:c>
      <x:c r="J41" s="32" t="str">
        <x:v>手動</x:v>
      </x:c>
      <x:c r="K41" s="32" t="str">
        <x:v>－</x:v>
      </x:c>
      <x:c r="L41" s="32" t="str">
        <x:v>高</x:v>
      </x:c>
      <x:c r="M41" s="32" t="str">
        <x:v>未実施</x:v>
      </x:c>
      <x:c r="N41" s="37"/>
      <x:c r="O41" s="32"/>
      <x:c r="P41" s="33"/>
    </x:row>
    <x:row r="42">
      <x:c r="A42" s="31" t="str">
        <x:v>FDBK-007</x:v>
      </x:c>
      <x:c r="B42" s="32" t="str">
        <x:v>フィードバック品質</x:v>
      </x:c>
      <x:c r="C42" s="32" t="str">
        <x:v>柔軟性</x:v>
      </x:c>
      <x:c r="D42" s="32" t="str">
        <x:v>文法と自然さを異なるカテゴリで指摘する</x:v>
      </x:c>
      <x:c r="E42" s="32" t="str">
        <x:v>Local AI</x:v>
      </x:c>
      <x:c r="F42" s="32" t="str">
        <x:v>2種類の誤りを送信して終了</x:v>
      </x:c>
      <x:c r="G42" s="32" t="str">
        <x:v>I am agree... / I very like...</x:v>
      </x:c>
      <x:c r="H42" s="32" t="str">
        <x:v>GRAMMARとNATURALNESSの2件が会話固有summaryと共に返る</x:v>
      </x:c>
      <x:c r="I42" s="32" t="str">
        <x:v>品質</x:v>
      </x:c>
      <x:c r="J42" s="32" t="str">
        <x:v>自動</x:v>
      </x:c>
      <x:c r="K42" s="32" t="str">
        <x:v>LocalAiClientTest.feedbackHandlesDifferentCommonMistakesAndUsesConversationContent</x:v>
      </x:c>
      <x:c r="L42" s="32" t="str">
        <x:v>高</x:v>
      </x:c>
      <x:c r="M42" s="32" t="str">
        <x:v>OK</x:v>
      </x:c>
      <x:c r="N42" s="37" t="n">
        <x:v>46245</x:v>
      </x:c>
      <x:c r="O42" s="32" t="str">
        <x:v>Codex</x:v>
      </x:c>
      <x:c r="P42" s="33" t="str">
        <x:v>./gradlew :backend:test: 10/10 passed</x:v>
      </x:c>
    </x:row>
    <x:row r="43">
      <x:c r="A43" s="31" t="str">
        <x:v>FDBK-008</x:v>
      </x:c>
      <x:c r="B43" s="32" t="str">
        <x:v>フィードバック品質</x:v>
      </x:c>
      <x:c r="C43" s="32" t="str">
        <x:v>不要訂正</x:v>
      </x:c>
      <x:c r="D43" s="32" t="str">
        <x:v>原文と修正文が同じ指摘を除外する</x:v>
      </x:c>
      <x:c r="E43" s="32" t="str">
        <x:v>FeedbackData生成</x:v>
      </x:c>
      <x:c r="F43" s="32" t="str">
        <x:v>同一original/correctedを渡す</x:v>
      </x:c>
      <x:c r="G43" s="32" t="str">
        <x:v>I am tired. → I am tired.</x:v>
      </x:c>
      <x:c r="H43" s="32" t="str">
        <x:v>correctionsから除外される</x:v>
      </x:c>
      <x:c r="I43" s="32" t="str">
        <x:v>品質</x:v>
      </x:c>
      <x:c r="J43" s="32" t="str">
        <x:v>自動</x:v>
      </x:c>
      <x:c r="K43" s="32" t="str">
        <x:v>FeedbackDataTest</x:v>
      </x:c>
      <x:c r="L43" s="32" t="str">
        <x:v>高</x:v>
      </x:c>
      <x:c r="M43" s="32" t="str">
        <x:v>OK</x:v>
      </x:c>
      <x:c r="N43" s="37" t="n">
        <x:v>46245</x:v>
      </x:c>
      <x:c r="O43" s="32" t="str">
        <x:v>Codex</x:v>
      </x:c>
      <x:c r="P43" s="33" t="str">
        <x:v>./gradlew :backend:test: 10/10 passed</x:v>
      </x:c>
    </x:row>
    <x:row r="44">
      <x:c r="A44" s="31" t="str">
        <x:v>FDBK-009</x:v>
      </x:c>
      <x:c r="B44" s="32" t="str">
        <x:v>フィードバック品質</x:v>
      </x:c>
      <x:c r="C44" s="32" t="str">
        <x:v>具体性</x:v>
      </x:c>
      <x:c r="D44" s="32" t="str">
        <x:v>会話内容に固有のsummary・strengthsを返す</x:v>
      </x:c>
      <x:c r="E44" s="32" t="str">
        <x:v>外部AI利用・異なる2会話</x:v>
      </x:c>
      <x:c r="F44" s="32" t="str">
        <x:v>各会話を終了して比較</x:v>
      </x:c>
      <x:c r="G44" s="32" t="str">
        <x:v>旅行会話 / 仕事会話</x:v>
      </x:c>
      <x:c r="H44" s="32" t="str">
        <x:v>両会話で内容が異なり、具体的な話題・伝達方法へ言及する</x:v>
      </x:c>
      <x:c r="I44" s="32" t="str">
        <x:v>品質</x:v>
      </x:c>
      <x:c r="J44" s="32" t="str">
        <x:v>手動</x:v>
      </x:c>
      <x:c r="K44" s="32" t="str">
        <x:v>－</x:v>
      </x:c>
      <x:c r="L44" s="32" t="str">
        <x:v>高</x:v>
      </x:c>
      <x:c r="M44" s="32" t="str">
        <x:v>未実施</x:v>
      </x:c>
      <x:c r="N44" s="37"/>
      <x:c r="O44" s="32"/>
      <x:c r="P44" s="33"/>
    </x:row>
    <x:row r="45">
      <x:c r="A45" s="31" t="str">
        <x:v>HIST-001</x:v>
      </x:c>
      <x:c r="B45" s="32" t="str">
        <x:v>履歴</x:v>
      </x:c>
      <x:c r="C45" s="32" t="str">
        <x:v>一覧</x:v>
      </x:c>
      <x:c r="D45" s="32" t="str">
        <x:v>自分の会話履歴を新しい順に表示する</x:v>
      </x:c>
      <x:c r="E45" s="32" t="str">
        <x:v>複数会話あり</x:v>
      </x:c>
      <x:c r="F45" s="32" t="str">
        <x:v>履歴画面を開く</x:v>
      </x:c>
      <x:c r="G45" s="32" t="str">
        <x:v>－</x:v>
      </x:c>
      <x:c r="H45" s="32" t="str">
        <x:v>開始日時降順で表示され、詳細へ遷移できる</x:v>
      </x:c>
      <x:c r="I45" s="32" t="str">
        <x:v>正常</x:v>
      </x:c>
      <x:c r="J45" s="32" t="str">
        <x:v>手動</x:v>
      </x:c>
      <x:c r="K45" s="32" t="str">
        <x:v>－</x:v>
      </x:c>
      <x:c r="L45" s="32" t="str">
        <x:v>中</x:v>
      </x:c>
      <x:c r="M45" s="32" t="str">
        <x:v>未実施</x:v>
      </x:c>
      <x:c r="N45" s="37"/>
      <x:c r="O45" s="32"/>
      <x:c r="P45" s="33"/>
    </x:row>
    <x:row r="46">
      <x:c r="A46" s="31" t="str">
        <x:v>ERR-001</x:v>
      </x:c>
      <x:c r="B46" s="32" t="str">
        <x:v>障害処理</x:v>
      </x:c>
      <x:c r="C46" s="32" t="str">
        <x:v>AI障害</x:v>
      </x:c>
      <x:c r="D46" s="32" t="str">
        <x:v>会話中のAI障害を503として案内する</x:v>
      </x:c>
      <x:c r="E46" s="32" t="str">
        <x:v>外部AIを失敗させる</x:v>
      </x:c>
      <x:c r="F46" s="32" t="str">
        <x:v>メッセージを送信</x:v>
      </x:c>
      <x:c r="G46" s="32" t="str">
        <x:v>－</x:v>
      </x:c>
      <x:c r="H46" s="32" t="str">
        <x:v>画面に利用不可案内が表示され、アプリ全体は操作可能</x:v>
      </x:c>
      <x:c r="I46" s="32" t="str">
        <x:v>異常</x:v>
      </x:c>
      <x:c r="J46" s="32" t="str">
        <x:v>手動</x:v>
      </x:c>
      <x:c r="K46" s="32" t="str">
        <x:v>－</x:v>
      </x:c>
      <x:c r="L46" s="32" t="str">
        <x:v>中</x:v>
      </x:c>
      <x:c r="M46" s="32" t="str">
        <x:v>未実施</x:v>
      </x:c>
      <x:c r="N46" s="37"/>
      <x:c r="O46" s="32"/>
      <x:c r="P46" s="33"/>
    </x:row>
    <x:row r="47">
      <x:c r="A47" s="31" t="str">
        <x:v>ERR-002</x:v>
      </x:c>
      <x:c r="B47" s="32" t="str">
        <x:v>障害処理</x:v>
      </x:c>
      <x:c r="C47" s="32" t="str">
        <x:v>予期しない例外</x:v>
      </x:c>
      <x:c r="D47" s="32" t="str">
        <x:v>React例外で白画面にしない</x:v>
      </x:c>
      <x:c r="E47" s="32" t="str">
        <x:v>表示時例外を発生させる</x:v>
      </x:c>
      <x:c r="F47" s="32" t="str">
        <x:v>対象画面を表示</x:v>
      </x:c>
      <x:c r="G47" s="32" t="str">
        <x:v>－</x:v>
      </x:c>
      <x:c r="H47" s="32" t="str">
        <x:v>ErrorBoundaryの復帰案内が表示される</x:v>
      </x:c>
      <x:c r="I47" s="32" t="str">
        <x:v>異常</x:v>
      </x:c>
      <x:c r="J47" s="32" t="str">
        <x:v>手動</x:v>
      </x:c>
      <x:c r="K47" s="32" t="str">
        <x:v>－</x:v>
      </x:c>
      <x:c r="L47" s="32" t="str">
        <x:v>中</x:v>
      </x:c>
      <x:c r="M47" s="32" t="str">
        <x:v>未実施</x:v>
      </x:c>
      <x:c r="N47" s="37"/>
      <x:c r="O47" s="32"/>
      <x:c r="P47" s="33"/>
    </x:row>
    <x:row r="48">
      <x:c r="A48" s="31" t="str">
        <x:v>SEC-001</x:v>
      </x:c>
      <x:c r="B48" s="32" t="str">
        <x:v>セキュリティ</x:v>
      </x:c>
      <x:c r="C48" s="32" t="str">
        <x:v>CSRF</x:v>
      </x:c>
      <x:c r="D48" s="32" t="str">
        <x:v>CSRF Tokenなしの更新要求を拒否する</x:v>
      </x:c>
      <x:c r="E48" s="32" t="str">
        <x:v>ログイン済み</x:v>
      </x:c>
      <x:c r="F48" s="32" t="str">
        <x:v>TokenなしでPOST/PUTを送る</x:v>
      </x:c>
      <x:c r="G48" s="32" t="str">
        <x:v>－</x:v>
      </x:c>
      <x:c r="H48" s="32" t="str">
        <x:v>403となり更新されない</x:v>
      </x:c>
      <x:c r="I48" s="32" t="str">
        <x:v>セキュリティ</x:v>
      </x:c>
      <x:c r="J48" s="32" t="str">
        <x:v>手動</x:v>
      </x:c>
      <x:c r="K48" s="32" t="str">
        <x:v>－</x:v>
      </x:c>
      <x:c r="L48" s="32" t="str">
        <x:v>高</x:v>
      </x:c>
      <x:c r="M48" s="32" t="str">
        <x:v>未実施</x:v>
      </x:c>
      <x:c r="N48" s="37"/>
      <x:c r="O48" s="32"/>
      <x:c r="P48" s="33"/>
    </x:row>
    <x:row r="49">
      <x:c r="A49" s="31" t="str">
        <x:v>SEC-002</x:v>
      </x:c>
      <x:c r="B49" s="32" t="str">
        <x:v>セキュリティ</x:v>
      </x:c>
      <x:c r="C49" s="32" t="str">
        <x:v>CORS</x:v>
      </x:c>
      <x:c r="D49" s="32" t="str">
        <x:v>未許可Originからの要求を拒否する</x:v>
      </x:c>
      <x:c r="E49" s="32" t="str">
        <x:v>Backend起動済み</x:v>
      </x:c>
      <x:c r="F49" s="32" t="str">
        <x:v>別Originでプリフライト</x:v>
      </x:c>
      <x:c r="G49" s="32" t="str">
        <x:v>Origin=http://example.invalid</x:v>
      </x:c>
      <x:c r="H49" s="32" t="str">
        <x:v>CORSエラーとなり本体要求を許可しない</x:v>
      </x:c>
      <x:c r="I49" s="32" t="str">
        <x:v>セキュリティ</x:v>
      </x:c>
      <x:c r="J49" s="32" t="str">
        <x:v>手動</x:v>
      </x:c>
      <x:c r="K49" s="32" t="str">
        <x:v>－</x:v>
      </x:c>
      <x:c r="L49" s="32" t="str">
        <x:v>高</x:v>
      </x:c>
      <x:c r="M49" s="32" t="str">
        <x:v>未実施</x:v>
      </x:c>
      <x:c r="N49" s="37"/>
      <x:c r="O49" s="32"/>
      <x:c r="P49" s="33"/>
    </x:row>
    <x:row r="50">
      <x:c r="A50" s="31" t="str">
        <x:v>NF-001</x:v>
      </x:c>
      <x:c r="B50" s="32" t="str">
        <x:v>非機能</x:v>
      </x:c>
      <x:c r="C50" s="32" t="str">
        <x:v>ログ</x:v>
      </x:c>
      <x:c r="D50" s="32" t="str">
        <x:v>requestId・Status・処理時間を記録する</x:v>
      </x:c>
      <x:c r="E50" s="32" t="str">
        <x:v>Backend起動済み</x:v>
      </x:c>
      <x:c r="F50" s="32" t="str">
        <x:v>任意APIを呼ぶ</x:v>
      </x:c>
      <x:c r="G50" s="32" t="str">
        <x:v>－</x:v>
      </x:c>
      <x:c r="H50" s="32" t="str">
        <x:v>機密本文なしでrequestId、Method、Path、Status、durationが記録される</x:v>
      </x:c>
      <x:c r="I50" s="32" t="str">
        <x:v>運用</x:v>
      </x:c>
      <x:c r="J50" s="32" t="str">
        <x:v>手動</x:v>
      </x:c>
      <x:c r="K50" s="32" t="str">
        <x:v>－</x:v>
      </x:c>
      <x:c r="L50" s="32" t="str">
        <x:v>低</x:v>
      </x:c>
      <x:c r="M50" s="32" t="str">
        <x:v>未実施</x:v>
      </x:c>
      <x:c r="N50" s="37"/>
      <x:c r="O50" s="32"/>
      <x:c r="P50" s="33"/>
    </x:row>
    <x:row r="51">
      <x:c r="A51" s="34" t="str">
        <x:v>E2E-001</x:v>
      </x:c>
      <x:c r="B51" s="35" t="str">
        <x:v>E2E</x:v>
      </x:c>
      <x:c r="C51" s="35" t="str">
        <x:v>主要正常系</x:v>
      </x:c>
      <x:c r="D51" s="35" t="str">
        <x:v>登録からFeedback表示まで完走する</x:v>
      </x:c>
      <x:c r="E51" s="35" t="str">
        <x:v>Frontend/Backend起動済み</x:v>
      </x:c>
      <x:c r="F51" s="35" t="str">
        <x:v>登録→ログイン→レベル→開始→送信→終了</x:v>
      </x:c>
      <x:c r="G51" s="35" t="str">
        <x:v>自動生成メール</x:v>
      </x:c>
      <x:c r="H51" s="35" t="str">
        <x:v>Conversation feedback見出しが表示される</x:v>
      </x:c>
      <x:c r="I51" s="35" t="str">
        <x:v>正常</x:v>
      </x:c>
      <x:c r="J51" s="35" t="str">
        <x:v>自動</x:v>
      </x:c>
      <x:c r="K51" s="35" t="str">
        <x:v>frontend/e2e/happy-path.spec.ts</x:v>
      </x:c>
      <x:c r="L51" s="35" t="str">
        <x:v>高</x:v>
      </x:c>
      <x:c r="M51" s="35" t="str">
        <x:v>OK</x:v>
      </x:c>
      <x:c r="N51" s="38" t="n">
        <x:v>46245</x:v>
      </x:c>
      <x:c r="O51" s="35" t="str">
        <x:v>Codex</x:v>
      </x:c>
      <x:c r="P51" s="36" t="str">
        <x:v>npm run e2e --prefix frontend: 1/1 passed（Chromium 136 / Local AI）</x:v>
      </x:c>
    </x:row>
  </x:sheetData>
  <x:mergeCells>
    <x:mergeCell ref="A1:P1"/>
    <x:mergeCell ref="A2:P2"/>
  </x:mergeCells>
  <x:conditionalFormatting sqref="M6:M51">
    <x:cfRule type="containsText" dxfId="0" priority="1" operator="containsText" text="OK"/>
    <x:cfRule type="containsText" dxfId="1" priority="2" operator="containsText" text="NG"/>
    <x:cfRule type="containsText" dxfId="2" priority="3" operator="containsText" text="保留"/>
  </x:conditionalFormatting>
  <x:conditionalFormatting sqref="L6:L51">
    <x:cfRule type="containsText" dxfId="3" priority="4" operator="containsText" text="高"/>
  </x:conditionalFormatting>
  <x:dataValidations count="2">
    <x:dataValidation type="list" sqref="L6:L51">
      <x:formula1>"高,中,低"</x:formula1>
    </x:dataValidation>
    <x:dataValidation type="list" sqref="M6:M51">
      <x:formula1>"未実施,OK,NG,保留,対象外"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d9841a87304f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48" hidden="0" customWidth="1"/>
    <x:col min="4" max="4" width="3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テスト環境・実施運用</x:v>
      </x:c>
      <x:c r="B1" s="3"/>
      <x:c r="C1" s="3"/>
      <x:c r="D1" s="3"/>
      <x:c r="E1" s="3"/>
      <x:c r="F1" s="3"/>
    </x:row>
    <x:row r="3">
      <x:c r="A3" s="6" t="str">
        <x:v>環境項目</x:v>
      </x:c>
      <x:c r="B3" s="6" t="str">
        <x:v>推奨値・確認内容</x:v>
      </x:c>
    </x:row>
    <x:row r="4">
      <x:c r="A4" s="40" t="str">
        <x:v>Java</x:v>
      </x:c>
      <x:c r="B4" s="40" t="str">
        <x:v>21</x:v>
      </x:c>
    </x:row>
    <x:row r="5">
      <x:c r="A5" s="40" t="str">
        <x:v>Node.js / npm</x:v>
      </x:c>
      <x:c r="B5" s="40" t="str">
        <x:v>Node.js 22 / npm 10</x:v>
      </x:c>
    </x:row>
    <x:row r="6">
      <x:c r="A6" s="40" t="str">
        <x:v>Frontend</x:v>
      </x:c>
      <x:c r="B6" s="40" t="str">
        <x:v>http://localhost:5173</x:v>
      </x:c>
    </x:row>
    <x:row r="7">
      <x:c r="A7" s="40" t="str">
        <x:v>Backend</x:v>
      </x:c>
      <x:c r="B7" s="40" t="str">
        <x:v>http://localhost:8080</x:v>
      </x:c>
    </x:row>
    <x:row r="8">
      <x:c r="A8" s="40" t="str">
        <x:v>Database</x:v>
      </x:c>
      <x:c r="B8" s="40" t="str">
        <x:v>H2 file / テストはin-memory</x:v>
      </x:c>
    </x:row>
    <x:row r="9">
      <x:c r="A9" s="40" t="str">
        <x:v>AI（通常の自動テスト）</x:v>
      </x:c>
      <x:c r="B9" s="40" t="str">
        <x:v>OPENAI_API_KEYなし / Local AI</x:v>
      </x:c>
    </x:row>
    <x:row r="10">
      <x:c r="A10" s="40" t="str">
        <x:v>AI品質の手動確認</x:v>
      </x:c>
      <x:c r="B10" s="40" t="str">
        <x:v>検証用API Keyと対象モデルを明記</x:v>
      </x:c>
    </x:row>
    <x:row r="11">
      <x:c r="A11" s="40" t="str">
        <x:v>Browser</x:v>
      </x:c>
      <x:c r="B11" s="40" t="str">
        <x:v>Chrome最新版を基本。必要に応じてSafari/モバイル幅も確認</x:v>
      </x:c>
    </x:row>
    <x:row r="13">
      <x:c r="A13" s="23" t="str">
        <x:v>順序</x:v>
      </x:c>
      <x:c r="B13" s="23" t="str">
        <x:v>操作</x:v>
      </x:c>
      <x:c r="C13" s="23" t="str">
        <x:v>コマンド / 記録</x:v>
      </x:c>
      <x:c r="D13" s="23" t="str">
        <x:v>合格条件</x:v>
      </x:c>
      <x:c r="E13" s="23" t="str">
        <x:v>担当</x:v>
      </x:c>
      <x:c r="F13" s="23" t="str">
        <x:v>実施結果</x:v>
      </x:c>
    </x:row>
    <x:row r="14">
      <x:c r="A14" s="40" t="n">
        <x:v>1</x:v>
      </x:c>
      <x:c r="B14" s="40" t="str">
        <x:v>Backend自動テスト</x:v>
      </x:c>
      <x:c r="C14" s="40" t="str">
        <x:v>./gradlew :backend:test</x:v>
      </x:c>
      <x:c r="D14" s="40" t="str">
        <x:v>全件成功</x:v>
      </x:c>
      <x:c r="E14" s="40" t="str">
        <x:v>Codex</x:v>
      </x:c>
      <x:c r="F14" s="40" t="str">
        <x:v>OK</x:v>
      </x:c>
    </x:row>
    <x:row r="15">
      <x:c r="A15" s="40" t="n">
        <x:v>2</x:v>
      </x:c>
      <x:c r="B15" s="40" t="str">
        <x:v>Frontend自動テスト</x:v>
      </x:c>
      <x:c r="C15" s="40" t="str">
        <x:v>npm test --prefix frontend</x:v>
      </x:c>
      <x:c r="D15" s="40" t="str">
        <x:v>全件成功</x:v>
      </x:c>
      <x:c r="E15" s="40" t="str">
        <x:v>Codex</x:v>
      </x:c>
      <x:c r="F15" s="40" t="str">
        <x:v>OK</x:v>
      </x:c>
    </x:row>
    <x:row r="16">
      <x:c r="A16" s="40" t="n">
        <x:v>3</x:v>
      </x:c>
      <x:c r="B16" s="40" t="str">
        <x:v>型・Lint</x:v>
      </x:c>
      <x:c r="C16" s="40" t="str">
        <x:v>npm run typecheck --prefix frontend &amp;&amp; npm run lint --prefix frontend</x:v>
      </x:c>
      <x:c r="D16" s="40" t="str">
        <x:v>Error 0件</x:v>
      </x:c>
      <x:c r="E16" s="40" t="str">
        <x:v>Codex</x:v>
      </x:c>
      <x:c r="F16" s="40" t="str">
        <x:v>OK</x:v>
      </x:c>
    </x:row>
    <x:row r="17">
      <x:c r="A17" s="40" t="n">
        <x:v>4</x:v>
      </x:c>
      <x:c r="B17" s="40" t="str">
        <x:v>Format</x:v>
      </x:c>
      <x:c r="C17" s="40" t="str">
        <x:v>npm run format:check</x:v>
      </x:c>
      <x:c r="D17" s="40" t="str">
        <x:v>差分なし</x:v>
      </x:c>
      <x:c r="E17" s="40" t="str">
        <x:v>Codex</x:v>
      </x:c>
      <x:c r="F17" s="40" t="str">
        <x:v>OK</x:v>
      </x:c>
    </x:row>
    <x:row r="18">
      <x:c r="A18" s="40" t="n">
        <x:v>5</x:v>
      </x:c>
      <x:c r="B18" s="40" t="str">
        <x:v>E2E</x:v>
      </x:c>
      <x:c r="C18" s="40" t="str">
        <x:v>npm run dev → npm run e2e --prefix frontend</x:v>
      </x:c>
      <x:c r="D18" s="40" t="str">
        <x:v>主要正常系成功</x:v>
      </x:c>
      <x:c r="E18" s="40" t="str">
        <x:v>Codex</x:v>
      </x:c>
      <x:c r="F18" s="40" t="str">
        <x:v>OK</x:v>
      </x:c>
    </x:row>
    <x:row r="19">
      <x:c r="A19" s="40" t="n">
        <x:v>6</x:v>
      </x:c>
      <x:c r="B19" s="40" t="str">
        <x:v>手動・品質確認</x:v>
      </x:c>
      <x:c r="C19" s="40" t="str">
        <x:v>テストケースの手動/一部自動行を実施</x:v>
      </x:c>
      <x:c r="D19" s="40" t="str">
        <x:v>高優先度NG 0件</x:v>
      </x:c>
      <x:c r="E19" s="40" t="str"/>
      <x:c r="F19" s="40" t="str">
        <x:v>未実施</x:v>
      </x:c>
    </x:row>
    <x:row r="21">
      <x:c r="A21" s="41" t="str">
        <x:v>Google Sheetsでの運用ルール</x:v>
      </x:c>
      <x:c r="B21" s="41"/>
      <x:c r="C21" s="41"/>
      <x:c r="D21" s="41"/>
      <x:c r="E21" s="41"/>
      <x:c r="F21" s="41"/>
    </x:row>
    <x:row r="22">
      <x:c r="A22" s="43" t="str">
        <x:v>1. xlsxをGoogle Driveへアップロードし、Google Sheetsとして開く。</x:v>
      </x:c>
      <x:c r="B22" s="43"/>
      <x:c r="C22" s="43"/>
      <x:c r="D22" s="43"/>
      <x:c r="E22" s="43"/>
      <x:c r="F22" s="43"/>
    </x:row>
    <x:row r="23">
      <x:c r="A23" s="43" t="str">
        <x:v>2. 実施前に対象ブランチ、commit SHA、Browser、AI設定を証跡・備考へ記録する。</x:v>
      </x:c>
      <x:c r="B23" s="43"/>
      <x:c r="C23" s="43"/>
      <x:c r="D23" s="43"/>
      <x:c r="E23" s="43"/>
      <x:c r="F23" s="43"/>
    </x:row>
    <x:row r="24">
      <x:c r="A24" s="43" t="str">
        <x:v>3. 実施結果はプルダウンから選び、NG/保留には再現手順とIssue/画像URLを付ける。</x:v>
      </x:c>
      <x:c r="B24" s="43"/>
      <x:c r="C24" s="43"/>
      <x:c r="D24" s="43"/>
      <x:c r="E24" s="43"/>
      <x:c r="F24" s="43"/>
    </x:row>
    <x:row r="25">
      <x:c r="A25" s="43" t="str">
        <x:v>4. 自動テスト行もCIまたはローカル結果を確認して記録する。</x:v>
      </x:c>
      <x:c r="B25" s="43"/>
      <x:c r="C25" s="43"/>
      <x:c r="D25" s="43"/>
      <x:c r="E25" s="43"/>
      <x:c r="F25" s="43"/>
    </x:row>
    <x:row r="26">
      <x:c r="A26" s="43" t="str">
        <x:v>5. AI品質ケースは最低2回実施し、モデル名と代表応答を証跡へ残す。</x:v>
      </x:c>
      <x:c r="B26" s="43"/>
      <x:c r="C26" s="43"/>
      <x:c r="D26" s="43"/>
      <x:c r="E26" s="43"/>
      <x:c r="F26" s="43"/>
    </x:row>
    <x:row r="27">
      <x:c r="A27" s="43" t="str">
        <x:v>6. リリース判定は高優先度NG 0件、保留は責任者承認済みを基準とする。</x:v>
      </x:c>
      <x:c r="B27" s="43"/>
      <x:c r="C27" s="43"/>
      <x:c r="D27" s="43"/>
      <x:c r="E27" s="43"/>
      <x:c r="F27" s="43"/>
    </x:row>
    <x:row r="29">
      <x:c r="A29" s="53" t="str">
        <x:v>2026-08-11 自動検証結果</x:v>
      </x:c>
      <x:c r="B29" s="54"/>
      <x:c r="C29" s="54"/>
      <x:c r="D29" s="54"/>
      <x:c r="E29" s="54"/>
      <x:c r="F29" s="55"/>
    </x:row>
    <x:row r="30">
      <x:c r="A30" s="56" t="str">
        <x:v>Backend</x:v>
      </x:c>
      <x:c r="B30" s="57" t="str">
        <x:v>10/10 passed</x:v>
      </x:c>
      <x:c r="C30" s="57" t="str">
        <x:v>./gradlew :backend:test :backend:spotlessCheck</x:v>
      </x:c>
      <x:c r="D30" s="57" t="str">
        <x:v>OK</x:v>
      </x:c>
      <x:c r="E30" s="57" t="str">
        <x:v>Codex</x:v>
      </x:c>
      <x:c r="F30" s="58" t="str"/>
    </x:row>
    <x:row r="31">
      <x:c r="A31" s="56" t="str">
        <x:v>Frontend</x:v>
      </x:c>
      <x:c r="B31" s="57" t="str">
        <x:v>8/8 passed</x:v>
      </x:c>
      <x:c r="C31" s="57" t="str">
        <x:v>npm test --prefix frontend</x:v>
      </x:c>
      <x:c r="D31" s="57" t="str">
        <x:v>OK</x:v>
      </x:c>
      <x:c r="E31" s="57" t="str">
        <x:v>Codex</x:v>
      </x:c>
      <x:c r="F31" s="58" t="str"/>
    </x:row>
    <x:row r="32">
      <x:c r="A32" s="56" t="str">
        <x:v>静的検査</x:v>
      </x:c>
      <x:c r="B32" s="57" t="str">
        <x:v>Typecheck / ESLint / Format passed</x:v>
      </x:c>
      <x:c r="C32" s="57" t="str">
        <x:v>typecheck / lint / format:check</x:v>
      </x:c>
      <x:c r="D32" s="57" t="str">
        <x:v>OK</x:v>
      </x:c>
      <x:c r="E32" s="57" t="str">
        <x:v>Codex</x:v>
      </x:c>
      <x:c r="F32" s="58" t="str"/>
    </x:row>
    <x:row r="33">
      <x:c r="A33" s="56" t="str">
        <x:v>E2E</x:v>
      </x:c>
      <x:c r="B33" s="57" t="str">
        <x:v>1/1 passed</x:v>
      </x:c>
      <x:c r="C33" s="57" t="str">
        <x:v>npm run e2e --prefix frontend</x:v>
      </x:c>
      <x:c r="D33" s="57" t="str">
        <x:v>OK</x:v>
      </x:c>
      <x:c r="E33" s="57" t="str">
        <x:v>Codex</x:v>
      </x:c>
      <x:c r="F33" s="58" t="str">
        <x:v>Chromium 136 / Local AI</x:v>
      </x:c>
    </x:row>
    <x:row r="34">
      <x:c r="A34" s="59" t="str">
        <x:v>未実施範囲</x:v>
      </x:c>
      <x:c r="B34" s="60" t="str">
        <x:v>手動品質・モバイル実機・障害注入</x:v>
      </x:c>
      <x:c r="C34" s="60" t="str">
        <x:v>テストケースで継続管理</x:v>
      </x:c>
      <x:c r="D34" s="60" t="str">
        <x:v>未実施</x:v>
      </x:c>
      <x:c r="E34" s="60" t="str"/>
      <x:c r="F34" s="61" t="str"/>
    </x:row>
  </x:sheetData>
  <x:mergeCells>
    <x:mergeCell ref="A1:F1"/>
    <x:mergeCell ref="A21:F21"/>
    <x:mergeCell ref="A22:F22"/>
    <x:mergeCell ref="A23:F23"/>
    <x:mergeCell ref="A24:F24"/>
    <x:mergeCell ref="A25:F25"/>
    <x:mergeCell ref="A26:F26"/>
    <x:mergeCell ref="A27:F27"/>
    <x:mergeCell ref="A29:F29"/>
  </x:mergeCells>
  <x:dataValidations count="1">
    <x:dataValidation type="list" sqref="F14:F19">
      <x:formula1>"未実施,OK,NG,保留,対象外"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45" t="str">
        <x:v>入力値マスタ</x:v>
      </x:c>
      <x:c r="B1" s="45"/>
      <x:c r="C1" s="45"/>
      <x:c r="D1" s="45"/>
    </x:row>
    <x:row r="3">
      <x:c r="A3" s="46" t="str">
        <x:v>実施結果</x:v>
      </x:c>
      <x:c r="B3" s="47" t="str">
        <x:v>優先度</x:v>
      </x:c>
      <x:c r="C3" s="47" t="str">
        <x:v>自動化</x:v>
      </x:c>
      <x:c r="D3" s="48" t="str">
        <x:v>種別</x:v>
      </x:c>
    </x:row>
    <x:row r="4">
      <x:c r="A4" s="9" t="str">
        <x:v>未実施</x:v>
      </x:c>
      <x:c r="B4" s="49" t="str">
        <x:v>高</x:v>
      </x:c>
      <x:c r="C4" s="49" t="str">
        <x:v>自動</x:v>
      </x:c>
      <x:c r="D4" s="10" t="str">
        <x:v>正常</x:v>
      </x:c>
    </x:row>
    <x:row r="5">
      <x:c r="A5" s="9" t="str">
        <x:v>OK</x:v>
      </x:c>
      <x:c r="B5" s="49" t="str">
        <x:v>中</x:v>
      </x:c>
      <x:c r="C5" s="49" t="str">
        <x:v>一部自動</x:v>
      </x:c>
      <x:c r="D5" s="10" t="str">
        <x:v>異常</x:v>
      </x:c>
    </x:row>
    <x:row r="6">
      <x:c r="A6" s="9" t="str">
        <x:v>NG</x:v>
      </x:c>
      <x:c r="B6" s="49" t="str">
        <x:v>低</x:v>
      </x:c>
      <x:c r="C6" s="49" t="str">
        <x:v>手動</x:v>
      </x:c>
      <x:c r="D6" s="10" t="str">
        <x:v>境界</x:v>
      </x:c>
    </x:row>
    <x:row r="7">
      <x:c r="A7" s="9" t="str">
        <x:v>保留</x:v>
      </x:c>
      <x:c r="B7" s="49"/>
      <x:c r="C7" s="49"/>
      <x:c r="D7" s="10" t="str">
        <x:v>セキュリティ</x:v>
      </x:c>
    </x:row>
    <x:row r="8">
      <x:c r="A8" s="9" t="str">
        <x:v>対象外</x:v>
      </x:c>
      <x:c r="B8" s="49"/>
      <x:c r="C8" s="49"/>
      <x:c r="D8" s="10" t="str">
        <x:v>品質</x:v>
      </x:c>
    </x:row>
    <x:row r="9">
      <x:c r="A9" s="9"/>
      <x:c r="B9" s="49"/>
      <x:c r="C9" s="49"/>
      <x:c r="D9" s="10" t="str">
        <x:v>UI</x:v>
      </x:c>
    </x:row>
    <x:row r="10">
      <x:c r="A10" s="9"/>
      <x:c r="B10" s="49"/>
      <x:c r="C10" s="49"/>
      <x:c r="D10" s="10" t="str">
        <x:v>運用</x:v>
      </x:c>
    </x:row>
    <x:row r="11">
      <x:c r="A11" s="11"/>
      <x:c r="B11" s="50"/>
      <x:c r="C11" s="50"/>
      <x:c r="D11" s="13" t="str">
        <x:v>E2E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34" hidden="0" customWidth="1"/>
    <x:col min="4" max="4" width="48" hidden="0" customWidth="1"/>
    <x:col min="5" max="5" width="48" hidden="0" customWidth="1"/>
    <x:col min="6" max="6" width="14" hidden="0" customWidth="1"/>
    <x:col min="7" max="7" width="14" hidden="0" customWidth="1"/>
  </x:cols>
  <x:sheetData>
    <x:row r="1" ht="34" customHeight="1">
      <x:c r="A1" s="63" t="str">
        <x:v>MVPフェーズ2 要件・実装・テスト トレーサビリティ</x:v>
      </x:c>
      <x:c r="B1" s="63"/>
      <x:c r="C1" s="63"/>
      <x:c r="D1" s="63"/>
      <x:c r="E1" s="63"/>
      <x:c r="F1" s="63"/>
      <x:c r="G1" s="63"/>
    </x:row>
    <x:row r="3">
      <x:c r="A3" s="67" t="str">
        <x:v>要件ID</x:v>
      </x:c>
      <x:c r="B3" s="68" t="str">
        <x:v>要件</x:v>
      </x:c>
      <x:c r="C3" s="68" t="str">
        <x:v>原因</x:v>
      </x:c>
      <x:c r="D3" s="68" t="str">
        <x:v>実装箇所</x:v>
      </x:c>
      <x:c r="E3" s="68" t="str">
        <x:v>自動テスト</x:v>
      </x:c>
      <x:c r="F3" s="68" t="str">
        <x:v>実装状態</x:v>
      </x:c>
      <x:c r="G3" s="69" t="str">
        <x:v>検証結果</x:v>
      </x:c>
    </x:row>
    <x:row r="4">
      <x:c r="A4" s="31" t="str">
        <x:v>P2-REQ-001</x:v>
      </x:c>
      <x:c r="B4" s="32" t="str">
        <x:v>直近発言とレベルに沿った自然な会話</x:v>
      </x:c>
      <x:c r="C4" s="32" t="str">
        <x:v>Local AI固定質問・Promptの具体性不足</x:v>
      </x:c>
      <x:c r="D4" s="32" t="str">
        <x:v>AiClientConfig.LocalAiClient.reply / Prompts.CONVERSATION</x:v>
      </x:c>
      <x:c r="E4" s="32" t="str">
        <x:v>LocalAiClientTest / ConversationIntegrationTest / E2E-001</x:v>
      </x:c>
      <x:c r="F4" s="32" t="str">
        <x:v>完了</x:v>
      </x:c>
      <x:c r="G4" s="33" t="str">
        <x:v>OK</x:v>
      </x:c>
    </x:row>
    <x:row r="5">
      <x:c r="A5" s="31" t="str">
        <x:v>P2-REQ-002</x:v>
      </x:c>
      <x:c r="B5" s="32" t="str">
        <x:v>会話画面下部から終了できる</x:v>
      </x:c>
      <x:c r="C5" s="32" t="str">
        <x:v>終了ボタンが画面上部だけ</x:v>
      </x:c>
      <x:c r="D5" s="32" t="str">
        <x:v>App.tsx / styles.css</x:v>
      </x:c>
      <x:c r="E5" s="32" t="str">
        <x:v>App.test.tsx / happy-path.spec.ts</x:v>
      </x:c>
      <x:c r="F5" s="32" t="str">
        <x:v>完了</x:v>
      </x:c>
      <x:c r="G5" s="33" t="str">
        <x:v>OK</x:v>
      </x:c>
    </x:row>
    <x:row r="6">
      <x:c r="A6" s="31" t="str">
        <x:v>P2-REQ-003</x:v>
      </x:c>
      <x:c r="B6" s="32" t="str">
        <x:v>会話固有で柔軟なFeedback</x:v>
      </x:c>
      <x:c r="C6" s="32" t="str">
        <x:v>Local AIが1パターン・Feedback Promptの基準不足</x:v>
      </x:c>
      <x:c r="D6" s="32" t="str">
        <x:v>AiClientConfig.LocalAiClient.feedback / Prompts.FEEDBACK</x:v>
      </x:c>
      <x:c r="E6" s="32" t="str">
        <x:v>LocalAiClientTest / FeedbackDataTest / ConversationSupport.test.tsx / E2E-001</x:v>
      </x:c>
      <x:c r="F6" s="32" t="str">
        <x:v>完了</x:v>
      </x:c>
      <x:c r="G6" s="33" t="str">
        <x:v>OK</x:v>
      </x:c>
    </x:row>
    <x:row r="7">
      <x:c r="A7" s="31" t="str">
        <x:v>P2-REQ-004</x:v>
      </x:c>
      <x:c r="B7" s="32" t="str">
        <x:v>非同期Feedback失敗時も会話を保持する</x:v>
      </x:c>
      <x:c r="C7" s="32" t="str">
        <x:v>AI処理と会話終了の結合</x:v>
      </x:c>
      <x:c r="D7" s="32" t="str">
        <x:v>ConversationService / FeedbackGenerationService / FeedbackPanel</x:v>
      </x:c>
      <x:c r="E7" s="32" t="str">
        <x:v>ConversationIntegrationTest / ConversationSupport.test.tsx</x:v>
      </x:c>
      <x:c r="F7" s="32" t="str">
        <x:v>完了</x:v>
      </x:c>
      <x:c r="G7" s="33" t="str">
        <x:v>OK</x:v>
      </x:c>
    </x:row>
    <x:row r="8">
      <x:c r="A8" s="34" t="str">
        <x:v>P2-DOC-001</x:v>
      </x:c>
      <x:c r="B8" s="35" t="str">
        <x:v>設計・移行・コード追跡・テスト仕様を同期する</x:v>
      </x:c>
      <x:c r="C8" s="35" t="str">
        <x:v>文書がPhase 1.5基準または未作成</x:v>
      </x:c>
      <x:c r="D8" s="35" t="str">
        <x:v>docs/SYSTEM_DESIGN.md / MVPフェーズ2移行書.md / CODE_READING_GUIDE.md / 本Workbook</x:v>
      </x:c>
      <x:c r="E8" s="35" t="str">
        <x:v>format:check / 本シート</x:v>
      </x:c>
      <x:c r="F8" s="35" t="str">
        <x:v>完了</x:v>
      </x:c>
      <x:c r="G8" s="36" t="str">
        <x:v>OK</x:v>
      </x:c>
    </x:row>
  </x:sheetData>
  <x:mergeCells>
    <x:mergeCell ref="A1:G1"/>
  </x:mergeCells>
  <x:conditionalFormatting sqref="G4:G8">
    <x:cfRule type="containsText" dxfId="4" priority="1" operator="containsText" text="OK"/>
  </x:conditionalFormatting>
  <x:dataValidations count="2">
    <x:dataValidation type="list" sqref="F4:F8">
      <x:formula1>"未着手,実装中,完了,保留"</x:formula1>
    </x:dataValidation>
    <x:dataValidation type="list" sqref="G4:G8">
      <x:formula1>"未実施,OK,NG,保留"</x:formula1>
    </x:dataValidation>
  </x:dataValidations>
  <x:pageMargins left="0.7" right="0.7" top="0.75" bottom="0.75" header="0.3" footer="0.3"/>
</x:worksheet>
</file>